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12c417981308819/Desktop/BORN/ABASTECEDORA/CARPETAS AGRICULTURA/AGRICULTURA/"/>
    </mc:Choice>
  </mc:AlternateContent>
  <xr:revisionPtr revIDLastSave="0" documentId="8_{6B8A5BFB-8076-4A69-91DE-2BB0E9FF5F5E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TOCK INSUMOS" sheetId="1" r:id="rId1"/>
    <sheet name="RESUMEN POR RUBRO" sheetId="2" r:id="rId2"/>
    <sheet name="PROVEEDORES" sheetId="3" r:id="rId3"/>
    <sheet name="📋 INSTRUC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2" i="1" l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I113" i="1" s="1"/>
  <c r="K6" i="1"/>
  <c r="J6" i="1"/>
  <c r="I6" i="1"/>
  <c r="K5" i="1"/>
  <c r="J5" i="1"/>
  <c r="I5" i="1"/>
  <c r="K4" i="1"/>
  <c r="J4" i="1"/>
  <c r="I4" i="1"/>
</calcChain>
</file>

<file path=xl/sharedStrings.xml><?xml version="1.0" encoding="utf-8"?>
<sst xmlns="http://schemas.openxmlformats.org/spreadsheetml/2006/main" count="774" uniqueCount="454">
  <si>
    <t>CONTROL DE STOCK – INSUMOS AGROPECUARIOS</t>
  </si>
  <si>
    <t>Zona: Santa Fe, Argentina  |  Actualización: 07/05/2026</t>
  </si>
  <si>
    <t>RUBRO</t>
  </si>
  <si>
    <t>PRODUCTO GENÉRICO</t>
  </si>
  <si>
    <t>SUBPRODUCTO / PRESENTACIÓN</t>
  </si>
  <si>
    <t>UNIDAD</t>
  </si>
  <si>
    <t>STOCK ACTUAL</t>
  </si>
  <si>
    <t>STOCK MÍNIMO</t>
  </si>
  <si>
    <t>STOCK MÁXIMO</t>
  </si>
  <si>
    <t>PRECIO UNIT. ($)</t>
  </si>
  <si>
    <t>VALOR STOCK ($)</t>
  </si>
  <si>
    <t>% LLENADO</t>
  </si>
  <si>
    <t>ESTADO</t>
  </si>
  <si>
    <t>PROVEEDOR REFERENCIA</t>
  </si>
  <si>
    <t>OBSERVACIONES</t>
  </si>
  <si>
    <t>HERBICIDAS</t>
  </si>
  <si>
    <t>Glifosato</t>
  </si>
  <si>
    <t>Glifosato 48% SL</t>
  </si>
  <si>
    <t>Lt</t>
  </si>
  <si>
    <t>YPF Agro / Nufarm / Atanor</t>
  </si>
  <si>
    <t>Glifosato 66.2% SL</t>
  </si>
  <si>
    <t>Atanor / Dow AgroSciences</t>
  </si>
  <si>
    <t>2,4-D</t>
  </si>
  <si>
    <t>2,4-D Amina 72% SL</t>
  </si>
  <si>
    <t>Nufarm / Atanor / Agrofina</t>
  </si>
  <si>
    <t>2,4-D Ester 100% EC</t>
  </si>
  <si>
    <t>Atanor / Agrofina</t>
  </si>
  <si>
    <t>Atrazina</t>
  </si>
  <si>
    <t>Atrazina 50% SC</t>
  </si>
  <si>
    <t>Nufarm / Syngenta / Atanor</t>
  </si>
  <si>
    <t>Maíz y sorgo</t>
  </si>
  <si>
    <t>Dicamba</t>
  </si>
  <si>
    <t>Dicamba 57.7% SL</t>
  </si>
  <si>
    <t>Bayer / BASF</t>
  </si>
  <si>
    <t>Cletodim</t>
  </si>
  <si>
    <t>Cletodim 12% EC</t>
  </si>
  <si>
    <t>Adama / Nufarm</t>
  </si>
  <si>
    <t>Haloxifop-R metil</t>
  </si>
  <si>
    <t>Haloxifop-R 10.8% EC</t>
  </si>
  <si>
    <t>Dow AgroSciences / Adama</t>
  </si>
  <si>
    <t>Fluroxipir</t>
  </si>
  <si>
    <t>Fluroxipir 20% EC</t>
  </si>
  <si>
    <t>Corteva / Nufarm</t>
  </si>
  <si>
    <t>Metsulfuron</t>
  </si>
  <si>
    <t>Metsulfuron metil 60% WG</t>
  </si>
  <si>
    <t>Kg</t>
  </si>
  <si>
    <t>Dupont/Corteva / Adama</t>
  </si>
  <si>
    <t>Imazetapir</t>
  </si>
  <si>
    <t>Imazetapir 10% SL</t>
  </si>
  <si>
    <t>BASF / Adama</t>
  </si>
  <si>
    <t>Soja</t>
  </si>
  <si>
    <t>Imazamox</t>
  </si>
  <si>
    <t>Imazamox 4% SL</t>
  </si>
  <si>
    <t>BASF</t>
  </si>
  <si>
    <t>Soja Clearfield</t>
  </si>
  <si>
    <t>Clorimuron etil</t>
  </si>
  <si>
    <t>Clorimuron etil 25% WG</t>
  </si>
  <si>
    <t>Dupont/Corteva</t>
  </si>
  <si>
    <t>Flumioxazin</t>
  </si>
  <si>
    <t>Flumioxazin 50% WG</t>
  </si>
  <si>
    <t>Valent / Adama</t>
  </si>
  <si>
    <t>S-Metolacloro</t>
  </si>
  <si>
    <t>S-Metolacloro 96% EC</t>
  </si>
  <si>
    <t>Syngenta / Adama</t>
  </si>
  <si>
    <t>Maíz / Soja</t>
  </si>
  <si>
    <t>Acetoclor</t>
  </si>
  <si>
    <t>Acetoclor 90% EC</t>
  </si>
  <si>
    <t>Dow / Adama</t>
  </si>
  <si>
    <t>Maíz</t>
  </si>
  <si>
    <t>Pendimetalina</t>
  </si>
  <si>
    <t>Pendimetalina 33% EC</t>
  </si>
  <si>
    <t>Paraquat</t>
  </si>
  <si>
    <t>Paraquat 27.6% SL</t>
  </si>
  <si>
    <t>Barbecho</t>
  </si>
  <si>
    <t>Saflufenacil</t>
  </si>
  <si>
    <t>Saflufenacil 70% WG</t>
  </si>
  <si>
    <t>Florpirauxifeno-bencilo</t>
  </si>
  <si>
    <t>Florpirauxifeno 2.9% EC</t>
  </si>
  <si>
    <t>Corteva</t>
  </si>
  <si>
    <t>FUNGICIDAS</t>
  </si>
  <si>
    <t>Azoxistrobina</t>
  </si>
  <si>
    <t>Azoxistrobina 25% SC</t>
  </si>
  <si>
    <t>Syngenta / Adama / BASF</t>
  </si>
  <si>
    <t>Trifloxistrobina</t>
  </si>
  <si>
    <t>Trifloxistrobina 50% WG</t>
  </si>
  <si>
    <t>Bayer</t>
  </si>
  <si>
    <t>Piraclostrobina</t>
  </si>
  <si>
    <t>Piraclostrobina 25% EC</t>
  </si>
  <si>
    <t>Tebuconazol</t>
  </si>
  <si>
    <t>Tebuconazol 43% SC</t>
  </si>
  <si>
    <t>Bayer / Adama / Nufarm</t>
  </si>
  <si>
    <t>Protioconazol</t>
  </si>
  <si>
    <t>Protioconazol 41.5% EC</t>
  </si>
  <si>
    <t>Ciproconazol</t>
  </si>
  <si>
    <t>Ciproconazol 10% EC</t>
  </si>
  <si>
    <t>Epoxiconazol</t>
  </si>
  <si>
    <t>Epoxiconazol 12.5% SC</t>
  </si>
  <si>
    <t>Difenoconazol</t>
  </si>
  <si>
    <t>Difenoconazol 25% EC</t>
  </si>
  <si>
    <t>Mancozeb</t>
  </si>
  <si>
    <t>Mancozeb 80% WP</t>
  </si>
  <si>
    <t>Nufarm / Adama / UPL</t>
  </si>
  <si>
    <t>Carbendazim</t>
  </si>
  <si>
    <t>Carbendazim 50% SC</t>
  </si>
  <si>
    <t>Nufarm / Adama</t>
  </si>
  <si>
    <t>Fluxapyroxad</t>
  </si>
  <si>
    <t>Fluxapyroxad + Piraclostrobina</t>
  </si>
  <si>
    <t>Doble acción</t>
  </si>
  <si>
    <t>Boscalid</t>
  </si>
  <si>
    <t>Boscalid 26.7% + Epoxiconazol</t>
  </si>
  <si>
    <t>Benzovindiflupir</t>
  </si>
  <si>
    <t>Benzovindiflupir + Azoxistrobina</t>
  </si>
  <si>
    <t>Syngenta</t>
  </si>
  <si>
    <t>INSECTICIDAS</t>
  </si>
  <si>
    <t>Clorpirifos</t>
  </si>
  <si>
    <t>Clorpirifos 48% EC</t>
  </si>
  <si>
    <t>Dow / Adama / Nufarm</t>
  </si>
  <si>
    <t>Lambda-cialotrina</t>
  </si>
  <si>
    <t>Lambda-cialotrina 5% EC</t>
  </si>
  <si>
    <t>Cipermetrina</t>
  </si>
  <si>
    <t>Cipermetrina 25% EC</t>
  </si>
  <si>
    <t>Nufarm / Atanor / Adama</t>
  </si>
  <si>
    <t>Alfa-cipermetrina</t>
  </si>
  <si>
    <t>Alfa-cipermetrina 10% EC</t>
  </si>
  <si>
    <t>Imidacloprid</t>
  </si>
  <si>
    <t>Imidacloprid 35% SC</t>
  </si>
  <si>
    <t>Curasemilla</t>
  </si>
  <si>
    <t>Tiametoxam</t>
  </si>
  <si>
    <t>Tiametoxam 35% FS</t>
  </si>
  <si>
    <t>Clorfenapir</t>
  </si>
  <si>
    <t>Clorfenapir 36% SC</t>
  </si>
  <si>
    <t>Arañuela</t>
  </si>
  <si>
    <t>Metamidofos</t>
  </si>
  <si>
    <t>Metamidofos 60% SL</t>
  </si>
  <si>
    <t>Dimetoato</t>
  </si>
  <si>
    <t>Dimetoato 40% EC</t>
  </si>
  <si>
    <t>Endosulfan</t>
  </si>
  <si>
    <t>Endosulfan 35% EC</t>
  </si>
  <si>
    <t>Adama</t>
  </si>
  <si>
    <t>Ver regulaciones</t>
  </si>
  <si>
    <t>Spinosad</t>
  </si>
  <si>
    <t>Spinosad 48% SC</t>
  </si>
  <si>
    <t>Corteva / Adama</t>
  </si>
  <si>
    <t>Emamectina</t>
  </si>
  <si>
    <t>Emamectina benzoato 1.9% EC</t>
  </si>
  <si>
    <t>Clorpiriifos+Cipermetrina</t>
  </si>
  <si>
    <t>Clorpirifos 36%+Cipermetrina 1.5%</t>
  </si>
  <si>
    <t>Mezcla formulada</t>
  </si>
  <si>
    <t>CURASEMILLAS</t>
  </si>
  <si>
    <t>Carboxin + Thiram</t>
  </si>
  <si>
    <t>Carboxin 17.5% + Thiram 17.5% FS</t>
  </si>
  <si>
    <t>Syngenta / Nufarm</t>
  </si>
  <si>
    <t>Fludioxonil</t>
  </si>
  <si>
    <t>Fludioxonil 2.5% FS</t>
  </si>
  <si>
    <t>Metalaxil</t>
  </si>
  <si>
    <t>Metalaxil 35% FS</t>
  </si>
  <si>
    <t>Iprodiona</t>
  </si>
  <si>
    <t>Iprodiona 50% SC</t>
  </si>
  <si>
    <t>Bayer / Adama</t>
  </si>
  <si>
    <t>Trichoderma</t>
  </si>
  <si>
    <t>Trichoderma harzianum biofungicida</t>
  </si>
  <si>
    <t>Biocontrol / Rizobacter</t>
  </si>
  <si>
    <t>Biológico</t>
  </si>
  <si>
    <t>Rhizobium</t>
  </si>
  <si>
    <t>Inoculante soja (Bradyrhizobium)</t>
  </si>
  <si>
    <t>Rizobacter / Biagro / Lage&amp;Cia</t>
  </si>
  <si>
    <t>Inoculante maíz</t>
  </si>
  <si>
    <t>Azospirillum brasilense líq.</t>
  </si>
  <si>
    <t>Rizobacter / Biagro</t>
  </si>
  <si>
    <t>Imidacloprid+Tiametoxam</t>
  </si>
  <si>
    <t>Curasemilla insecticida combinado</t>
  </si>
  <si>
    <t>Bayer / Syngenta</t>
  </si>
  <si>
    <t>FERTILIZANTES</t>
  </si>
  <si>
    <t>Urea</t>
  </si>
  <si>
    <t>Urea granulada 46-0-0</t>
  </si>
  <si>
    <t>Tn</t>
  </si>
  <si>
    <t>YPF Agro / ACA / Profertil</t>
  </si>
  <si>
    <t>UAN</t>
  </si>
  <si>
    <t>UAN solución 32% N</t>
  </si>
  <si>
    <t>Profertil / YPF Agro</t>
  </si>
  <si>
    <t>Sulfato de amonio</t>
  </si>
  <si>
    <t>Sulfato de amonio 21-0-0-24S</t>
  </si>
  <si>
    <t>Caprolactama / Adama</t>
  </si>
  <si>
    <t>Fosfato diamónico (DAP)</t>
  </si>
  <si>
    <t>DAP 18-46-0</t>
  </si>
  <si>
    <t>ACA / YPF Agro</t>
  </si>
  <si>
    <t>Fosfato monoamónico (MAP)</t>
  </si>
  <si>
    <t>MAP 11-52-0</t>
  </si>
  <si>
    <t>Superfosfato triple (SFT)</t>
  </si>
  <si>
    <t>SFT 0-46-0</t>
  </si>
  <si>
    <t>ACA / Nutrientes Arg.</t>
  </si>
  <si>
    <t>NPK sólido</t>
  </si>
  <si>
    <t>NPK 15-15-15 granulado</t>
  </si>
  <si>
    <t>YPF Agro / ACA</t>
  </si>
  <si>
    <t>Pasturas</t>
  </si>
  <si>
    <t>Azufre elemental</t>
  </si>
  <si>
    <t>Azufre 90% microgranulado</t>
  </si>
  <si>
    <t>Timac Agro / ACA</t>
  </si>
  <si>
    <t>Yeso agrícola</t>
  </si>
  <si>
    <t>Yeso agrícola sulfato Ca</t>
  </si>
  <si>
    <t>Distribuidor local</t>
  </si>
  <si>
    <t>Boro</t>
  </si>
  <si>
    <t>Boro 10% soluble</t>
  </si>
  <si>
    <t>Nutrientes Arg. / Timac</t>
  </si>
  <si>
    <t>Zinc EDTA</t>
  </si>
  <si>
    <t>Zinc quelatado 14%</t>
  </si>
  <si>
    <t>Nutrientes Arg.</t>
  </si>
  <si>
    <t>Manganeso EDTA</t>
  </si>
  <si>
    <t>Manganeso quelatado 13%</t>
  </si>
  <si>
    <t>Fertilizante foliar</t>
  </si>
  <si>
    <t>NPK foliar + micronutrientes</t>
  </si>
  <si>
    <t>Timac Agro / Haifa / YPF Agro</t>
  </si>
  <si>
    <t>Nitrógeno estabilizado</t>
  </si>
  <si>
    <t>Urea + inhibidor NBPT</t>
  </si>
  <si>
    <t>Koch Agronomic / Profertil</t>
  </si>
  <si>
    <t>COADYUVANTES</t>
  </si>
  <si>
    <t>Aceite mineral</t>
  </si>
  <si>
    <t>Aceite mineral parafínico</t>
  </si>
  <si>
    <t>Nufarm / Adama / YPF Agro</t>
  </si>
  <si>
    <t>Aceite vegetal metilado</t>
  </si>
  <si>
    <t>Aceite metilado soja MSO</t>
  </si>
  <si>
    <t>Dow / Corteva</t>
  </si>
  <si>
    <t>Surfactante no iónico</t>
  </si>
  <si>
    <t>Surfactante NI 80%</t>
  </si>
  <si>
    <t>Antideriva</t>
  </si>
  <si>
    <t>Polímero antideriva</t>
  </si>
  <si>
    <t>Stoller / Adama</t>
  </si>
  <si>
    <t>Agua destilada</t>
  </si>
  <si>
    <t>Agua destilada / desmineralizada</t>
  </si>
  <si>
    <t>Local</t>
  </si>
  <si>
    <t>Buffer / corrector pH</t>
  </si>
  <si>
    <t>Acondicionador agua 80%</t>
  </si>
  <si>
    <t>Adherente</t>
  </si>
  <si>
    <t>Adherente-humectante foliar</t>
  </si>
  <si>
    <t>Stoller / YPF Agro</t>
  </si>
  <si>
    <t>SEMILLAS</t>
  </si>
  <si>
    <t>Soja GM RR1 - varios grupos</t>
  </si>
  <si>
    <t>Don Mario / Nidera / Pioneer</t>
  </si>
  <si>
    <t>Soja GM RR2 - varios grupos</t>
  </si>
  <si>
    <t>Don Mario / Syngenta / Bayer</t>
  </si>
  <si>
    <t>Soja Intacta RR2 PRO</t>
  </si>
  <si>
    <t>BASF / Don Mario</t>
  </si>
  <si>
    <t>Maíz híbrido simple RR+BT</t>
  </si>
  <si>
    <t>Pioneer / Syngenta / Dekalb</t>
  </si>
  <si>
    <t>Maíz híbrido tardío VT3Pro</t>
  </si>
  <si>
    <t>Dekalb / Pioneer / Corteva</t>
  </si>
  <si>
    <t>Girasol</t>
  </si>
  <si>
    <t>Girasol híbrido CL / Express</t>
  </si>
  <si>
    <t>Nidera / Don Mario / Syngenta</t>
  </si>
  <si>
    <t>Trigo</t>
  </si>
  <si>
    <t>Trigo ciclo largo</t>
  </si>
  <si>
    <t>Buck / Klein / Bayer</t>
  </si>
  <si>
    <t>Trigo ciclo corto</t>
  </si>
  <si>
    <t>Buck / Klein / Limagrain</t>
  </si>
  <si>
    <t>Sorgo</t>
  </si>
  <si>
    <t>Sorgo granífero híbrido</t>
  </si>
  <si>
    <t>Pioneer / Dekalb / Dow</t>
  </si>
  <si>
    <t>Sorgo forrajero</t>
  </si>
  <si>
    <t>Sorgo forrajero silo/pastoreo</t>
  </si>
  <si>
    <t>Pioneer / Barenbrug</t>
  </si>
  <si>
    <t>Alfalfa</t>
  </si>
  <si>
    <t>Alfalfa mezcla grupos 6-8</t>
  </si>
  <si>
    <t>Dow / Barenbrug / La Tijereta</t>
  </si>
  <si>
    <t>Festuca</t>
  </si>
  <si>
    <t>Festuca arundinacea</t>
  </si>
  <si>
    <t>Barenbrug / La Tijereta / ACA</t>
  </si>
  <si>
    <t>Raigrás</t>
  </si>
  <si>
    <t>Raigrás anual Lolium multiflorum</t>
  </si>
  <si>
    <t>Barenbrug / La Tijereta</t>
  </si>
  <si>
    <t>Cebadilla</t>
  </si>
  <si>
    <t>Cebadilla criolla / chaqueña</t>
  </si>
  <si>
    <t>Avena</t>
  </si>
  <si>
    <t>Avena forrajera / doble prop.</t>
  </si>
  <si>
    <t>Buck / ACA / La Tijereta</t>
  </si>
  <si>
    <t>Vicia</t>
  </si>
  <si>
    <t>Vicia villosa</t>
  </si>
  <si>
    <t>La Tijereta / ACA</t>
  </si>
  <si>
    <t>Abono verde</t>
  </si>
  <si>
    <t>Trébol rojo</t>
  </si>
  <si>
    <t>Trébol rojo Trifolium pratense</t>
  </si>
  <si>
    <t>ACARICIDAS</t>
  </si>
  <si>
    <t>Abamectina</t>
  </si>
  <si>
    <t>Abamectina 1.8% EC</t>
  </si>
  <si>
    <t>Syngenta / Adama / Nufarm</t>
  </si>
  <si>
    <t>Espirodiclofeno</t>
  </si>
  <si>
    <t>Espirodiclofeno 24% SC</t>
  </si>
  <si>
    <t>Bifenazato</t>
  </si>
  <si>
    <t>Bifenazato 24% SC</t>
  </si>
  <si>
    <t>Adama / UPL</t>
  </si>
  <si>
    <t>Fenpiroximato</t>
  </si>
  <si>
    <t>Fenpiroximato 5% EC</t>
  </si>
  <si>
    <t>BIOESTIMULANTES</t>
  </si>
  <si>
    <t>Ácidos húmicos</t>
  </si>
  <si>
    <t>Ácidos húmicos líquidos</t>
  </si>
  <si>
    <t>Humintech / Stoller / Biolchim</t>
  </si>
  <si>
    <t>Ácidos fúlvicos</t>
  </si>
  <si>
    <t>Ácidos fúlvicos 10%</t>
  </si>
  <si>
    <t>Humintech / Biolchim</t>
  </si>
  <si>
    <t>Aminoácidos</t>
  </si>
  <si>
    <t>Aminoácidos vegetales hidrolizados</t>
  </si>
  <si>
    <t>Stoller / Biolchim</t>
  </si>
  <si>
    <t>Algas marinas</t>
  </si>
  <si>
    <t>Extracto algas Ascophyllum nodosum</t>
  </si>
  <si>
    <t>Tecamin / Koppert</t>
  </si>
  <si>
    <t>Bacillus subtilis</t>
  </si>
  <si>
    <t>Bacillus subtilis biofungicida</t>
  </si>
  <si>
    <t>Bayer / Koppert / Rizobacter</t>
  </si>
  <si>
    <t>VARIOS</t>
  </si>
  <si>
    <t>Aceite motor diesel</t>
  </si>
  <si>
    <t>Aceite hidráulico / motor</t>
  </si>
  <si>
    <t>YPF / Shell / Castrol</t>
  </si>
  <si>
    <t>Grasa litio</t>
  </si>
  <si>
    <t>Grasa litio multipropósito</t>
  </si>
  <si>
    <t>YPF / Shell</t>
  </si>
  <si>
    <t>Filtros combustible</t>
  </si>
  <si>
    <t>Filtros combustible vários equipos</t>
  </si>
  <si>
    <t>Un</t>
  </si>
  <si>
    <t>Bosch / Mann / Vortex</t>
  </si>
  <si>
    <t>Picos pulverización</t>
  </si>
  <si>
    <t>Pico abanico plano 110° TT</t>
  </si>
  <si>
    <t>TeeJet / Albuz / Lechler</t>
  </si>
  <si>
    <t>Manguera pulverizadora</t>
  </si>
  <si>
    <t>Manguera alta presión 1/2"</t>
  </si>
  <si>
    <t>Mt</t>
  </si>
  <si>
    <t>Distribuidores locales</t>
  </si>
  <si>
    <t>EPP - Traje descartable</t>
  </si>
  <si>
    <t>Traje Tyvek cat. III</t>
  </si>
  <si>
    <t>DuPont / 3M</t>
  </si>
  <si>
    <t>EPP - Guantes</t>
  </si>
  <si>
    <t>Guantes nitrilo 33cm largo</t>
  </si>
  <si>
    <t>Par</t>
  </si>
  <si>
    <t>3M / Arseg</t>
  </si>
  <si>
    <t>EPP - Mascara media cara</t>
  </si>
  <si>
    <t>Media máscara + filtros ABEK</t>
  </si>
  <si>
    <t>3M / Arseg / MSA</t>
  </si>
  <si>
    <t>TOTAL VALOR STOCK</t>
  </si>
  <si>
    <t>RESUMEN DE STOCK POR RUBRO</t>
  </si>
  <si>
    <t>Nº PRODUCTOS</t>
  </si>
  <si>
    <t>PRODUCTOS SIN STOCK</t>
  </si>
  <si>
    <t>PRODUCTOS A REPONER</t>
  </si>
  <si>
    <t>% COBERTURA PROM.</t>
  </si>
  <si>
    <t>—</t>
  </si>
  <si>
    <t>* Completar precios en hoja STOCK INSUMOS para calcular valores automáticamente</t>
  </si>
  <si>
    <t>DIRECTORIO DE PROVEEDORES – ZONA SANTA FE</t>
  </si>
  <si>
    <t>EMPRESA</t>
  </si>
  <si>
    <t>RUBRO PRINCIPAL</t>
  </si>
  <si>
    <t>CONTACTO / ZONA</t>
  </si>
  <si>
    <t>TELÉFONO</t>
  </si>
  <si>
    <t>EMAIL / WEB</t>
  </si>
  <si>
    <t>VENDEDOR</t>
  </si>
  <si>
    <t>YPF Agro</t>
  </si>
  <si>
    <t>Herbicidas / Fertilizantes / Insumos</t>
  </si>
  <si>
    <t>Santa Fe / Nacional</t>
  </si>
  <si>
    <t>ypfagro.com.ar</t>
  </si>
  <si>
    <t>Nufarm Argentina</t>
  </si>
  <si>
    <t>Herbicidas / Fungicidas / Insecticidas</t>
  </si>
  <si>
    <t>Nacional</t>
  </si>
  <si>
    <t>nufarm.com/ar</t>
  </si>
  <si>
    <t>Adama Argentina</t>
  </si>
  <si>
    <t>adama.com/ar</t>
  </si>
  <si>
    <t>Atanor S.C.A.</t>
  </si>
  <si>
    <t>Herbicidas / Glifosato</t>
  </si>
  <si>
    <t>atanor.com.ar</t>
  </si>
  <si>
    <t>Bayer CropScience</t>
  </si>
  <si>
    <t>Fungicidas / Insecticidas / Semillas</t>
  </si>
  <si>
    <t>bayer.com.ar</t>
  </si>
  <si>
    <t>BASF Argentina</t>
  </si>
  <si>
    <t>Herbicidas / Fungicidas</t>
  </si>
  <si>
    <t>agro.basf.com.ar</t>
  </si>
  <si>
    <t>Syngenta Argentina</t>
  </si>
  <si>
    <t>Fungicidas / Semillas / Herbicidas</t>
  </si>
  <si>
    <t>syngenta.com.ar</t>
  </si>
  <si>
    <t>Corteva Agriscience</t>
  </si>
  <si>
    <t>Herbicidas / Semillas / Insecticidas</t>
  </si>
  <si>
    <t>corteva.com.ar</t>
  </si>
  <si>
    <t>Dow AgroSciences</t>
  </si>
  <si>
    <t>Herbicidas / Insecticidas</t>
  </si>
  <si>
    <t>Fusionada en Corteva</t>
  </si>
  <si>
    <t>Profertil S.A.</t>
  </si>
  <si>
    <t>Fertilizantes nitrogenados (Urea/UAN)</t>
  </si>
  <si>
    <t>Bahía Blanca / Nacional</t>
  </si>
  <si>
    <t>profertil.com.ar</t>
  </si>
  <si>
    <t>ACA (Asoc. Coop. Arg.)</t>
  </si>
  <si>
    <t>Fertilizantes / Semillas / Insumos</t>
  </si>
  <si>
    <t>aca.org.ar</t>
  </si>
  <si>
    <t>Cooperativa</t>
  </si>
  <si>
    <t>Timac Agro Argentina</t>
  </si>
  <si>
    <t>Fertilizantes especiales</t>
  </si>
  <si>
    <t>timacagro.com.ar</t>
  </si>
  <si>
    <t>Rizobacter Argentina</t>
  </si>
  <si>
    <t>Inoculantes / Bioestimulantes</t>
  </si>
  <si>
    <t>Pergamino / Nacional</t>
  </si>
  <si>
    <t>rizobacter.com.ar</t>
  </si>
  <si>
    <t>Biagro S.A.</t>
  </si>
  <si>
    <t>biagro.com.ar</t>
  </si>
  <si>
    <t>Don Mario Semillas</t>
  </si>
  <si>
    <t>Semillas soja / maíz</t>
  </si>
  <si>
    <t>donmario.com</t>
  </si>
  <si>
    <t>Nidera Semillas (SYNGENTA)</t>
  </si>
  <si>
    <t>Semillas soja / girasol</t>
  </si>
  <si>
    <t>Pioneer Hi-Bred (Corteva)</t>
  </si>
  <si>
    <t>Semillas maíz / soja / girasol</t>
  </si>
  <si>
    <t>pioneer.com.ar</t>
  </si>
  <si>
    <t>Dekalb (Bayer)</t>
  </si>
  <si>
    <t>Semillas maíz</t>
  </si>
  <si>
    <t>dekalb.com.ar</t>
  </si>
  <si>
    <t>Buck Semillas (Bayer)</t>
  </si>
  <si>
    <t>Semillas trigo</t>
  </si>
  <si>
    <t>buckseeds.com.ar</t>
  </si>
  <si>
    <t>Klein Semillas</t>
  </si>
  <si>
    <t>kleinsemillas.com.ar</t>
  </si>
  <si>
    <t>Barenbrug Argentina</t>
  </si>
  <si>
    <t>Semillas forrajeras / pasturas</t>
  </si>
  <si>
    <t>barenbrug.com.ar</t>
  </si>
  <si>
    <t>La Tijereta Semillas</t>
  </si>
  <si>
    <t>Semillas forrajeras</t>
  </si>
  <si>
    <t>Santa Fe / Regional</t>
  </si>
  <si>
    <t>latijereta.com.ar</t>
  </si>
  <si>
    <t>Stoller Argentina</t>
  </si>
  <si>
    <t>Bioestimulantes / Coadyuvantes</t>
  </si>
  <si>
    <t>stoller.com.ar</t>
  </si>
  <si>
    <t>Koppert Biological Systems</t>
  </si>
  <si>
    <t>Biológicos / Biocontrol</t>
  </si>
  <si>
    <t>koppert.com</t>
  </si>
  <si>
    <t>TeeJet Technologies</t>
  </si>
  <si>
    <t>Picos / Accesorios pulv.</t>
  </si>
  <si>
    <t>teejet.com</t>
  </si>
  <si>
    <t>Distribuidor local Rosario/Stafe</t>
  </si>
  <si>
    <t>Insumos generales / granel</t>
  </si>
  <si>
    <t>Santa Fe / Rosario</t>
  </si>
  <si>
    <t>Completar con datos locales</t>
  </si>
  <si>
    <t>📋  INSTRUCCIONES DE USO</t>
  </si>
  <si>
    <t>🌿  HOJA: STOCK INSUMOS</t>
  </si>
  <si>
    <t>• Ingrese el STOCK ACTUAL de cada producto en la columna E</t>
  </si>
  <si>
    <t>• Ingrese el PRECIO UNITARIO en la columna H (en $ argentinos)</t>
  </si>
  <si>
    <t>• Las columnas VALOR STOCK, % LLENADO y ESTADO se calculan automáticamente</t>
  </si>
  <si>
    <t>• ESTADO se actualiza según semáforo:</t>
  </si>
  <si>
    <t xml:space="preserve">     🟢 OK → Stock mayor al 150% del mínimo</t>
  </si>
  <si>
    <t xml:space="preserve">     🟡 BAJO → Stock entre mínimo y 150% del mínimo</t>
  </si>
  <si>
    <t xml:space="preserve">     🔴 REPONER → Stock por debajo del mínimo</t>
  </si>
  <si>
    <t xml:space="preserve">     ⚠️ SIN STOCK → Stock = 0</t>
  </si>
  <si>
    <t>• Puede modificar los valores de STOCK MÍNIMO y MÁXIMO según su campo</t>
  </si>
  <si>
    <t>• Agregue o elimine filas según los productos que use habitualmente</t>
  </si>
  <si>
    <t>📦  HOJA: RESUMEN POR RUBRO</t>
  </si>
  <si>
    <t>• Vista consolidada del stock agrupado por rubro</t>
  </si>
  <si>
    <t>• Los valores se actualizarán a medida que se registren precios y stock</t>
  </si>
  <si>
    <t>🏢  HOJA: PROVEEDORES</t>
  </si>
  <si>
    <t>• Complete los datos de contacto de sus proveedores locales y habituales</t>
  </si>
  <si>
    <t>• Incluya vendedores, teléfonos y correos de confianza</t>
  </si>
  <si>
    <t>💡  CONSEJOS</t>
  </si>
  <si>
    <t>• Actualice el stock después de cada compra o aplicación</t>
  </si>
  <si>
    <t>• Use la columna OBSERVACIONES para notar vencimientos o lotes</t>
  </si>
  <si>
    <t>• Haga copias de seguridad periódicas del archivo</t>
  </si>
  <si>
    <t>• Zona de aplicación: Santa Fe, Argentina (Núcleo Sojero / Pampa Húmeda)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</si>
</sst>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B5E2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i/>
      <sz val="10"/>
      <color rgb="FF888888"/>
      <name val="Arial"/>
    </font>
    <font>
      <i/>
      <sz val="8"/>
      <color rgb="FF888888"/>
      <name val="Arial"/>
    </font>
    <font>
      <b/>
      <sz val="11"/>
      <color rgb="FF2E7D32"/>
      <name val="Arial"/>
    </font>
    <font>
      <sz val="10"/>
      <color rgb="FF000000"/>
      <name val="Arial"/>
    </font>
    <font>
      <i/>
      <sz val="10"/>
      <color rgb="FF444444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CE4EC"/>
      </patternFill>
    </fill>
    <fill>
      <patternFill patternType="solid">
        <fgColor rgb="FFE8EAF6"/>
      </patternFill>
    </fill>
    <fill>
      <patternFill patternType="solid">
        <fgColor rgb="FFEFEB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" fontId="4" fillId="7" borderId="1" xfId="0" applyNumberFormat="1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4" fontId="4" fillId="8" borderId="1" xfId="0" applyNumberFormat="1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" fontId="4" fillId="9" borderId="1" xfId="0" applyNumberFormat="1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left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" fontId="4" fillId="10" borderId="1" xfId="0" applyNumberFormat="1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left" vertical="center"/>
    </xf>
    <xf numFmtId="165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" fontId="4" fillId="11" borderId="1" xfId="0" applyNumberFormat="1" applyFont="1" applyFill="1" applyBorder="1" applyAlignment="1">
      <alignment horizontal="left" vertical="center"/>
    </xf>
    <xf numFmtId="164" fontId="4" fillId="11" borderId="1" xfId="0" applyNumberFormat="1" applyFont="1" applyFill="1" applyBorder="1" applyAlignment="1">
      <alignment horizontal="left" vertical="center"/>
    </xf>
    <xf numFmtId="165" fontId="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4" fontId="4" fillId="12" borderId="1" xfId="0" applyNumberFormat="1" applyFont="1" applyFill="1" applyBorder="1" applyAlignment="1">
      <alignment horizontal="left" vertical="center"/>
    </xf>
    <xf numFmtId="164" fontId="4" fillId="12" borderId="1" xfId="0" applyNumberFormat="1" applyFont="1" applyFill="1" applyBorder="1" applyAlignment="1">
      <alignment horizontal="left" vertical="center"/>
    </xf>
    <xf numFmtId="165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" fontId="4" fillId="13" borderId="1" xfId="0" applyNumberFormat="1" applyFont="1" applyFill="1" applyBorder="1" applyAlignment="1">
      <alignment horizontal="left" vertical="center"/>
    </xf>
    <xf numFmtId="164" fontId="4" fillId="13" borderId="1" xfId="0" applyNumberFormat="1" applyFont="1" applyFill="1" applyBorder="1" applyAlignment="1">
      <alignment horizontal="left" vertical="center"/>
    </xf>
    <xf numFmtId="165" fontId="4" fillId="13" borderId="1" xfId="0" applyNumberFormat="1" applyFont="1" applyFill="1" applyBorder="1" applyAlignment="1">
      <alignment horizontal="center" vertical="center"/>
    </xf>
    <xf numFmtId="164" fontId="6" fillId="4" borderId="0" xfId="0" applyNumberFormat="1" applyFont="1" applyFill="1"/>
    <xf numFmtId="0" fontId="0" fillId="4" borderId="0" xfId="0" applyFill="1"/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4" borderId="0" xfId="0" applyFont="1" applyFill="1"/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7" fillId="2" borderId="0" xfId="0" applyFont="1" applyFill="1" applyAlignment="1">
      <alignment horizontal="center" vertical="center"/>
    </xf>
    <xf numFmtId="0" fontId="12" fillId="0" borderId="0" xfId="0" applyFont="1"/>
    <xf numFmtId="0" fontId="11" fillId="3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M113"/>
  <sheetViews>
    <sheetView tabSelected="1" workbookViewId="0">
      <pane ySplit="3" topLeftCell="A4" activePane="bottomLeft" state="frozen"/>
      <selection pane="bottomLeft" sqref="A1:M1"/>
    </sheetView>
  </sheetViews>
  <sheetFormatPr baseColWidth="10" defaultColWidth="8.7265625" defaultRowHeight="14.5" x14ac:dyDescent="0.35"/>
  <cols>
    <col min="1" max="1" width="18" customWidth="1"/>
    <col min="2" max="2" width="22" customWidth="1"/>
    <col min="3" max="3" width="32" customWidth="1"/>
    <col min="4" max="4" width="10" customWidth="1"/>
    <col min="5" max="7" width="13" customWidth="1"/>
    <col min="8" max="8" width="14" customWidth="1"/>
    <col min="9" max="9" width="15" customWidth="1"/>
    <col min="10" max="11" width="12" customWidth="1"/>
    <col min="12" max="12" width="28" customWidth="1"/>
    <col min="13" max="13" width="25" customWidth="1"/>
  </cols>
  <sheetData>
    <row r="1" spans="1:13" ht="30" customHeight="1" x14ac:dyDescent="0.35">
      <c r="A1" s="88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x14ac:dyDescent="0.35">
      <c r="A2" s="87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3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x14ac:dyDescent="0.35">
      <c r="A4" s="2" t="s">
        <v>15</v>
      </c>
      <c r="B4" s="3" t="s">
        <v>16</v>
      </c>
      <c r="C4" s="3" t="s">
        <v>17</v>
      </c>
      <c r="D4" s="2" t="s">
        <v>18</v>
      </c>
      <c r="E4" s="4">
        <v>0</v>
      </c>
      <c r="F4" s="4">
        <v>200</v>
      </c>
      <c r="G4" s="4">
        <v>1000</v>
      </c>
      <c r="H4" s="5">
        <v>0</v>
      </c>
      <c r="I4" s="5" t="str">
        <f t="shared" ref="I4:I35" si="0">IF(H4&gt;0,E4*H4,"")</f>
        <v/>
      </c>
      <c r="J4" s="6">
        <f t="shared" ref="J4:J35" si="1">IF(G4&gt;0,E4/G4,"")</f>
        <v>0</v>
      </c>
      <c r="K4" s="2" t="str">
        <f t="shared" ref="K4:K35" si="2">IF(E4=0,"⚠️ SIN STOCK",IF(E4&lt;F4,"🔴 REPONER",IF(E4&lt;F4*1.5,"🟡 BAJO","🟢 OK")))</f>
        <v>⚠️ SIN STOCK</v>
      </c>
      <c r="L4" s="3" t="s">
        <v>19</v>
      </c>
      <c r="M4" s="3"/>
    </row>
    <row r="5" spans="1:13" x14ac:dyDescent="0.35">
      <c r="A5" s="2" t="s">
        <v>15</v>
      </c>
      <c r="B5" s="3" t="s">
        <v>16</v>
      </c>
      <c r="C5" s="3" t="s">
        <v>20</v>
      </c>
      <c r="D5" s="2" t="s">
        <v>18</v>
      </c>
      <c r="E5" s="4">
        <v>0</v>
      </c>
      <c r="F5" s="4">
        <v>100</v>
      </c>
      <c r="G5" s="4">
        <v>500</v>
      </c>
      <c r="H5" s="5">
        <v>0</v>
      </c>
      <c r="I5" s="5" t="str">
        <f t="shared" si="0"/>
        <v/>
      </c>
      <c r="J5" s="6">
        <f t="shared" si="1"/>
        <v>0</v>
      </c>
      <c r="K5" s="2" t="str">
        <f t="shared" si="2"/>
        <v>⚠️ SIN STOCK</v>
      </c>
      <c r="L5" s="3" t="s">
        <v>21</v>
      </c>
      <c r="M5" s="3"/>
    </row>
    <row r="6" spans="1:13" x14ac:dyDescent="0.35">
      <c r="A6" s="2" t="s">
        <v>15</v>
      </c>
      <c r="B6" s="3" t="s">
        <v>22</v>
      </c>
      <c r="C6" s="3" t="s">
        <v>23</v>
      </c>
      <c r="D6" s="2" t="s">
        <v>18</v>
      </c>
      <c r="E6" s="4">
        <v>0</v>
      </c>
      <c r="F6" s="4">
        <v>50</v>
      </c>
      <c r="G6" s="4">
        <v>300</v>
      </c>
      <c r="H6" s="5">
        <v>0</v>
      </c>
      <c r="I6" s="5" t="str">
        <f t="shared" si="0"/>
        <v/>
      </c>
      <c r="J6" s="6">
        <f t="shared" si="1"/>
        <v>0</v>
      </c>
      <c r="K6" s="2" t="str">
        <f t="shared" si="2"/>
        <v>⚠️ SIN STOCK</v>
      </c>
      <c r="L6" s="3" t="s">
        <v>24</v>
      </c>
      <c r="M6" s="3"/>
    </row>
    <row r="7" spans="1:13" x14ac:dyDescent="0.35">
      <c r="A7" s="2" t="s">
        <v>15</v>
      </c>
      <c r="B7" s="3" t="s">
        <v>22</v>
      </c>
      <c r="C7" s="3" t="s">
        <v>25</v>
      </c>
      <c r="D7" s="2" t="s">
        <v>18</v>
      </c>
      <c r="E7" s="4">
        <v>0</v>
      </c>
      <c r="F7" s="4">
        <v>30</v>
      </c>
      <c r="G7" s="4">
        <v>150</v>
      </c>
      <c r="H7" s="5">
        <v>0</v>
      </c>
      <c r="I7" s="5" t="str">
        <f t="shared" si="0"/>
        <v/>
      </c>
      <c r="J7" s="6">
        <f t="shared" si="1"/>
        <v>0</v>
      </c>
      <c r="K7" s="2" t="str">
        <f t="shared" si="2"/>
        <v>⚠️ SIN STOCK</v>
      </c>
      <c r="L7" s="3" t="s">
        <v>26</v>
      </c>
      <c r="M7" s="3"/>
    </row>
    <row r="8" spans="1:13" x14ac:dyDescent="0.35">
      <c r="A8" s="2" t="s">
        <v>15</v>
      </c>
      <c r="B8" s="3" t="s">
        <v>27</v>
      </c>
      <c r="C8" s="3" t="s">
        <v>28</v>
      </c>
      <c r="D8" s="2" t="s">
        <v>18</v>
      </c>
      <c r="E8" s="4">
        <v>0</v>
      </c>
      <c r="F8" s="4">
        <v>100</v>
      </c>
      <c r="G8" s="4">
        <v>400</v>
      </c>
      <c r="H8" s="5">
        <v>0</v>
      </c>
      <c r="I8" s="5" t="str">
        <f t="shared" si="0"/>
        <v/>
      </c>
      <c r="J8" s="6">
        <f t="shared" si="1"/>
        <v>0</v>
      </c>
      <c r="K8" s="2" t="str">
        <f t="shared" si="2"/>
        <v>⚠️ SIN STOCK</v>
      </c>
      <c r="L8" s="3" t="s">
        <v>29</v>
      </c>
      <c r="M8" s="3" t="s">
        <v>30</v>
      </c>
    </row>
    <row r="9" spans="1:13" x14ac:dyDescent="0.35">
      <c r="A9" s="2" t="s">
        <v>15</v>
      </c>
      <c r="B9" s="3" t="s">
        <v>31</v>
      </c>
      <c r="C9" s="3" t="s">
        <v>32</v>
      </c>
      <c r="D9" s="2" t="s">
        <v>18</v>
      </c>
      <c r="E9" s="4">
        <v>0</v>
      </c>
      <c r="F9" s="4">
        <v>20</v>
      </c>
      <c r="G9" s="4">
        <v>100</v>
      </c>
      <c r="H9" s="5">
        <v>0</v>
      </c>
      <c r="I9" s="5" t="str">
        <f t="shared" si="0"/>
        <v/>
      </c>
      <c r="J9" s="6">
        <f t="shared" si="1"/>
        <v>0</v>
      </c>
      <c r="K9" s="2" t="str">
        <f t="shared" si="2"/>
        <v>⚠️ SIN STOCK</v>
      </c>
      <c r="L9" s="3" t="s">
        <v>33</v>
      </c>
      <c r="M9" s="3"/>
    </row>
    <row r="10" spans="1:13" x14ac:dyDescent="0.35">
      <c r="A10" s="2" t="s">
        <v>15</v>
      </c>
      <c r="B10" s="3" t="s">
        <v>34</v>
      </c>
      <c r="C10" s="3" t="s">
        <v>35</v>
      </c>
      <c r="D10" s="2" t="s">
        <v>18</v>
      </c>
      <c r="E10" s="4">
        <v>0</v>
      </c>
      <c r="F10" s="4">
        <v>20</v>
      </c>
      <c r="G10" s="4">
        <v>100</v>
      </c>
      <c r="H10" s="5">
        <v>0</v>
      </c>
      <c r="I10" s="5" t="str">
        <f t="shared" si="0"/>
        <v/>
      </c>
      <c r="J10" s="6">
        <f t="shared" si="1"/>
        <v>0</v>
      </c>
      <c r="K10" s="2" t="str">
        <f t="shared" si="2"/>
        <v>⚠️ SIN STOCK</v>
      </c>
      <c r="L10" s="3" t="s">
        <v>36</v>
      </c>
      <c r="M10" s="3"/>
    </row>
    <row r="11" spans="1:13" x14ac:dyDescent="0.35">
      <c r="A11" s="2" t="s">
        <v>15</v>
      </c>
      <c r="B11" s="3" t="s">
        <v>37</v>
      </c>
      <c r="C11" s="3" t="s">
        <v>38</v>
      </c>
      <c r="D11" s="2" t="s">
        <v>18</v>
      </c>
      <c r="E11" s="4">
        <v>0</v>
      </c>
      <c r="F11" s="4">
        <v>10</v>
      </c>
      <c r="G11" s="4">
        <v>60</v>
      </c>
      <c r="H11" s="5">
        <v>0</v>
      </c>
      <c r="I11" s="5" t="str">
        <f t="shared" si="0"/>
        <v/>
      </c>
      <c r="J11" s="6">
        <f t="shared" si="1"/>
        <v>0</v>
      </c>
      <c r="K11" s="2" t="str">
        <f t="shared" si="2"/>
        <v>⚠️ SIN STOCK</v>
      </c>
      <c r="L11" s="3" t="s">
        <v>39</v>
      </c>
      <c r="M11" s="3"/>
    </row>
    <row r="12" spans="1:13" x14ac:dyDescent="0.35">
      <c r="A12" s="2" t="s">
        <v>15</v>
      </c>
      <c r="B12" s="3" t="s">
        <v>40</v>
      </c>
      <c r="C12" s="3" t="s">
        <v>41</v>
      </c>
      <c r="D12" s="2" t="s">
        <v>18</v>
      </c>
      <c r="E12" s="4">
        <v>0</v>
      </c>
      <c r="F12" s="4">
        <v>10</v>
      </c>
      <c r="G12" s="4">
        <v>50</v>
      </c>
      <c r="H12" s="5">
        <v>0</v>
      </c>
      <c r="I12" s="5" t="str">
        <f t="shared" si="0"/>
        <v/>
      </c>
      <c r="J12" s="6">
        <f t="shared" si="1"/>
        <v>0</v>
      </c>
      <c r="K12" s="2" t="str">
        <f t="shared" si="2"/>
        <v>⚠️ SIN STOCK</v>
      </c>
      <c r="L12" s="3" t="s">
        <v>42</v>
      </c>
      <c r="M12" s="3"/>
    </row>
    <row r="13" spans="1:13" x14ac:dyDescent="0.35">
      <c r="A13" s="2" t="s">
        <v>15</v>
      </c>
      <c r="B13" s="3" t="s">
        <v>43</v>
      </c>
      <c r="C13" s="3" t="s">
        <v>44</v>
      </c>
      <c r="D13" s="2" t="s">
        <v>45</v>
      </c>
      <c r="E13" s="4">
        <v>0</v>
      </c>
      <c r="F13" s="4">
        <v>2</v>
      </c>
      <c r="G13" s="4">
        <v>10</v>
      </c>
      <c r="H13" s="5">
        <v>0</v>
      </c>
      <c r="I13" s="5" t="str">
        <f t="shared" si="0"/>
        <v/>
      </c>
      <c r="J13" s="6">
        <f t="shared" si="1"/>
        <v>0</v>
      </c>
      <c r="K13" s="2" t="str">
        <f t="shared" si="2"/>
        <v>⚠️ SIN STOCK</v>
      </c>
      <c r="L13" s="3" t="s">
        <v>46</v>
      </c>
      <c r="M13" s="3"/>
    </row>
    <row r="14" spans="1:13" x14ac:dyDescent="0.35">
      <c r="A14" s="2" t="s">
        <v>15</v>
      </c>
      <c r="B14" s="3" t="s">
        <v>47</v>
      </c>
      <c r="C14" s="3" t="s">
        <v>48</v>
      </c>
      <c r="D14" s="2" t="s">
        <v>18</v>
      </c>
      <c r="E14" s="4">
        <v>0</v>
      </c>
      <c r="F14" s="4">
        <v>20</v>
      </c>
      <c r="G14" s="4">
        <v>100</v>
      </c>
      <c r="H14" s="5">
        <v>0</v>
      </c>
      <c r="I14" s="5" t="str">
        <f t="shared" si="0"/>
        <v/>
      </c>
      <c r="J14" s="6">
        <f t="shared" si="1"/>
        <v>0</v>
      </c>
      <c r="K14" s="2" t="str">
        <f t="shared" si="2"/>
        <v>⚠️ SIN STOCK</v>
      </c>
      <c r="L14" s="3" t="s">
        <v>49</v>
      </c>
      <c r="M14" s="3" t="s">
        <v>50</v>
      </c>
    </row>
    <row r="15" spans="1:13" x14ac:dyDescent="0.35">
      <c r="A15" s="2" t="s">
        <v>15</v>
      </c>
      <c r="B15" s="3" t="s">
        <v>51</v>
      </c>
      <c r="C15" s="3" t="s">
        <v>52</v>
      </c>
      <c r="D15" s="2" t="s">
        <v>18</v>
      </c>
      <c r="E15" s="4">
        <v>0</v>
      </c>
      <c r="F15" s="4">
        <v>10</v>
      </c>
      <c r="G15" s="4">
        <v>50</v>
      </c>
      <c r="H15" s="5">
        <v>0</v>
      </c>
      <c r="I15" s="5" t="str">
        <f t="shared" si="0"/>
        <v/>
      </c>
      <c r="J15" s="6">
        <f t="shared" si="1"/>
        <v>0</v>
      </c>
      <c r="K15" s="2" t="str">
        <f t="shared" si="2"/>
        <v>⚠️ SIN STOCK</v>
      </c>
      <c r="L15" s="3" t="s">
        <v>53</v>
      </c>
      <c r="M15" s="3" t="s">
        <v>54</v>
      </c>
    </row>
    <row r="16" spans="1:13" x14ac:dyDescent="0.35">
      <c r="A16" s="2" t="s">
        <v>15</v>
      </c>
      <c r="B16" s="3" t="s">
        <v>55</v>
      </c>
      <c r="C16" s="3" t="s">
        <v>56</v>
      </c>
      <c r="D16" s="2" t="s">
        <v>45</v>
      </c>
      <c r="E16" s="4">
        <v>0</v>
      </c>
      <c r="F16" s="4">
        <v>1</v>
      </c>
      <c r="G16" s="4">
        <v>5</v>
      </c>
      <c r="H16" s="5">
        <v>0</v>
      </c>
      <c r="I16" s="5" t="str">
        <f t="shared" si="0"/>
        <v/>
      </c>
      <c r="J16" s="6">
        <f t="shared" si="1"/>
        <v>0</v>
      </c>
      <c r="K16" s="2" t="str">
        <f t="shared" si="2"/>
        <v>⚠️ SIN STOCK</v>
      </c>
      <c r="L16" s="3" t="s">
        <v>57</v>
      </c>
      <c r="M16" s="3" t="s">
        <v>50</v>
      </c>
    </row>
    <row r="17" spans="1:13" x14ac:dyDescent="0.35">
      <c r="A17" s="2" t="s">
        <v>15</v>
      </c>
      <c r="B17" s="3" t="s">
        <v>58</v>
      </c>
      <c r="C17" s="3" t="s">
        <v>59</v>
      </c>
      <c r="D17" s="2" t="s">
        <v>45</v>
      </c>
      <c r="E17" s="4">
        <v>0</v>
      </c>
      <c r="F17" s="4">
        <v>2</v>
      </c>
      <c r="G17" s="4">
        <v>10</v>
      </c>
      <c r="H17" s="5">
        <v>0</v>
      </c>
      <c r="I17" s="5" t="str">
        <f t="shared" si="0"/>
        <v/>
      </c>
      <c r="J17" s="6">
        <f t="shared" si="1"/>
        <v>0</v>
      </c>
      <c r="K17" s="2" t="str">
        <f t="shared" si="2"/>
        <v>⚠️ SIN STOCK</v>
      </c>
      <c r="L17" s="3" t="s">
        <v>60</v>
      </c>
      <c r="M17" s="3" t="s">
        <v>50</v>
      </c>
    </row>
    <row r="18" spans="1:13" x14ac:dyDescent="0.35">
      <c r="A18" s="2" t="s">
        <v>15</v>
      </c>
      <c r="B18" s="3" t="s">
        <v>61</v>
      </c>
      <c r="C18" s="3" t="s">
        <v>62</v>
      </c>
      <c r="D18" s="2" t="s">
        <v>18</v>
      </c>
      <c r="E18" s="4">
        <v>0</v>
      </c>
      <c r="F18" s="4">
        <v>20</v>
      </c>
      <c r="G18" s="4">
        <v>80</v>
      </c>
      <c r="H18" s="5">
        <v>0</v>
      </c>
      <c r="I18" s="5" t="str">
        <f t="shared" si="0"/>
        <v/>
      </c>
      <c r="J18" s="6">
        <f t="shared" si="1"/>
        <v>0</v>
      </c>
      <c r="K18" s="2" t="str">
        <f t="shared" si="2"/>
        <v>⚠️ SIN STOCK</v>
      </c>
      <c r="L18" s="3" t="s">
        <v>63</v>
      </c>
      <c r="M18" s="3" t="s">
        <v>64</v>
      </c>
    </row>
    <row r="19" spans="1:13" x14ac:dyDescent="0.35">
      <c r="A19" s="2" t="s">
        <v>15</v>
      </c>
      <c r="B19" s="3" t="s">
        <v>65</v>
      </c>
      <c r="C19" s="3" t="s">
        <v>66</v>
      </c>
      <c r="D19" s="2" t="s">
        <v>18</v>
      </c>
      <c r="E19" s="4">
        <v>0</v>
      </c>
      <c r="F19" s="4">
        <v>30</v>
      </c>
      <c r="G19" s="4">
        <v>100</v>
      </c>
      <c r="H19" s="5">
        <v>0</v>
      </c>
      <c r="I19" s="5" t="str">
        <f t="shared" si="0"/>
        <v/>
      </c>
      <c r="J19" s="6">
        <f t="shared" si="1"/>
        <v>0</v>
      </c>
      <c r="K19" s="2" t="str">
        <f t="shared" si="2"/>
        <v>⚠️ SIN STOCK</v>
      </c>
      <c r="L19" s="3" t="s">
        <v>67</v>
      </c>
      <c r="M19" s="3" t="s">
        <v>68</v>
      </c>
    </row>
    <row r="20" spans="1:13" x14ac:dyDescent="0.35">
      <c r="A20" s="2" t="s">
        <v>15</v>
      </c>
      <c r="B20" s="3" t="s">
        <v>69</v>
      </c>
      <c r="C20" s="3" t="s">
        <v>70</v>
      </c>
      <c r="D20" s="2" t="s">
        <v>18</v>
      </c>
      <c r="E20" s="4">
        <v>0</v>
      </c>
      <c r="F20" s="4">
        <v>20</v>
      </c>
      <c r="G20" s="4">
        <v>80</v>
      </c>
      <c r="H20" s="5">
        <v>0</v>
      </c>
      <c r="I20" s="5" t="str">
        <f t="shared" si="0"/>
        <v/>
      </c>
      <c r="J20" s="6">
        <f t="shared" si="1"/>
        <v>0</v>
      </c>
      <c r="K20" s="2" t="str">
        <f t="shared" si="2"/>
        <v>⚠️ SIN STOCK</v>
      </c>
      <c r="L20" s="3" t="s">
        <v>49</v>
      </c>
      <c r="M20" s="3"/>
    </row>
    <row r="21" spans="1:13" x14ac:dyDescent="0.35">
      <c r="A21" s="2" t="s">
        <v>15</v>
      </c>
      <c r="B21" s="3" t="s">
        <v>71</v>
      </c>
      <c r="C21" s="3" t="s">
        <v>72</v>
      </c>
      <c r="D21" s="2" t="s">
        <v>18</v>
      </c>
      <c r="E21" s="4">
        <v>0</v>
      </c>
      <c r="F21" s="4">
        <v>20</v>
      </c>
      <c r="G21" s="4">
        <v>100</v>
      </c>
      <c r="H21" s="5">
        <v>0</v>
      </c>
      <c r="I21" s="5" t="str">
        <f t="shared" si="0"/>
        <v/>
      </c>
      <c r="J21" s="6">
        <f t="shared" si="1"/>
        <v>0</v>
      </c>
      <c r="K21" s="2" t="str">
        <f t="shared" si="2"/>
        <v>⚠️ SIN STOCK</v>
      </c>
      <c r="L21" s="3" t="s">
        <v>36</v>
      </c>
      <c r="M21" s="3" t="s">
        <v>73</v>
      </c>
    </row>
    <row r="22" spans="1:13" x14ac:dyDescent="0.35">
      <c r="A22" s="2" t="s">
        <v>15</v>
      </c>
      <c r="B22" s="3" t="s">
        <v>74</v>
      </c>
      <c r="C22" s="3" t="s">
        <v>75</v>
      </c>
      <c r="D22" s="2" t="s">
        <v>45</v>
      </c>
      <c r="E22" s="4">
        <v>0</v>
      </c>
      <c r="F22" s="4">
        <v>1</v>
      </c>
      <c r="G22" s="4">
        <v>5</v>
      </c>
      <c r="H22" s="5">
        <v>0</v>
      </c>
      <c r="I22" s="5" t="str">
        <f t="shared" si="0"/>
        <v/>
      </c>
      <c r="J22" s="6">
        <f t="shared" si="1"/>
        <v>0</v>
      </c>
      <c r="K22" s="2" t="str">
        <f t="shared" si="2"/>
        <v>⚠️ SIN STOCK</v>
      </c>
      <c r="L22" s="3" t="s">
        <v>53</v>
      </c>
      <c r="M22" s="3"/>
    </row>
    <row r="23" spans="1:13" x14ac:dyDescent="0.35">
      <c r="A23" s="2" t="s">
        <v>15</v>
      </c>
      <c r="B23" s="3" t="s">
        <v>76</v>
      </c>
      <c r="C23" s="3" t="s">
        <v>77</v>
      </c>
      <c r="D23" s="2" t="s">
        <v>18</v>
      </c>
      <c r="E23" s="4">
        <v>0</v>
      </c>
      <c r="F23" s="4">
        <v>5</v>
      </c>
      <c r="G23" s="4">
        <v>20</v>
      </c>
      <c r="H23" s="5">
        <v>0</v>
      </c>
      <c r="I23" s="5" t="str">
        <f t="shared" si="0"/>
        <v/>
      </c>
      <c r="J23" s="6">
        <f t="shared" si="1"/>
        <v>0</v>
      </c>
      <c r="K23" s="2" t="str">
        <f t="shared" si="2"/>
        <v>⚠️ SIN STOCK</v>
      </c>
      <c r="L23" s="3" t="s">
        <v>78</v>
      </c>
      <c r="M23" s="3"/>
    </row>
    <row r="24" spans="1:13" x14ac:dyDescent="0.35">
      <c r="A24" s="7" t="s">
        <v>79</v>
      </c>
      <c r="B24" s="8" t="s">
        <v>80</v>
      </c>
      <c r="C24" s="8" t="s">
        <v>81</v>
      </c>
      <c r="D24" s="7" t="s">
        <v>18</v>
      </c>
      <c r="E24" s="9">
        <v>0</v>
      </c>
      <c r="F24" s="9">
        <v>10</v>
      </c>
      <c r="G24" s="9">
        <v>50</v>
      </c>
      <c r="H24" s="10">
        <v>0</v>
      </c>
      <c r="I24" s="10" t="str">
        <f t="shared" si="0"/>
        <v/>
      </c>
      <c r="J24" s="11">
        <f t="shared" si="1"/>
        <v>0</v>
      </c>
      <c r="K24" s="7" t="str">
        <f t="shared" si="2"/>
        <v>⚠️ SIN STOCK</v>
      </c>
      <c r="L24" s="8" t="s">
        <v>82</v>
      </c>
      <c r="M24" s="8"/>
    </row>
    <row r="25" spans="1:13" x14ac:dyDescent="0.35">
      <c r="A25" s="7" t="s">
        <v>79</v>
      </c>
      <c r="B25" s="8" t="s">
        <v>83</v>
      </c>
      <c r="C25" s="8" t="s">
        <v>84</v>
      </c>
      <c r="D25" s="7" t="s">
        <v>45</v>
      </c>
      <c r="E25" s="9">
        <v>0</v>
      </c>
      <c r="F25" s="9">
        <v>2</v>
      </c>
      <c r="G25" s="9">
        <v>10</v>
      </c>
      <c r="H25" s="10">
        <v>0</v>
      </c>
      <c r="I25" s="10" t="str">
        <f t="shared" si="0"/>
        <v/>
      </c>
      <c r="J25" s="11">
        <f t="shared" si="1"/>
        <v>0</v>
      </c>
      <c r="K25" s="7" t="str">
        <f t="shared" si="2"/>
        <v>⚠️ SIN STOCK</v>
      </c>
      <c r="L25" s="8" t="s">
        <v>85</v>
      </c>
      <c r="M25" s="8"/>
    </row>
    <row r="26" spans="1:13" x14ac:dyDescent="0.35">
      <c r="A26" s="7" t="s">
        <v>79</v>
      </c>
      <c r="B26" s="8" t="s">
        <v>86</v>
      </c>
      <c r="C26" s="8" t="s">
        <v>87</v>
      </c>
      <c r="D26" s="7" t="s">
        <v>18</v>
      </c>
      <c r="E26" s="9">
        <v>0</v>
      </c>
      <c r="F26" s="9">
        <v>10</v>
      </c>
      <c r="G26" s="9">
        <v>40</v>
      </c>
      <c r="H26" s="10">
        <v>0</v>
      </c>
      <c r="I26" s="10" t="str">
        <f t="shared" si="0"/>
        <v/>
      </c>
      <c r="J26" s="11">
        <f t="shared" si="1"/>
        <v>0</v>
      </c>
      <c r="K26" s="7" t="str">
        <f t="shared" si="2"/>
        <v>⚠️ SIN STOCK</v>
      </c>
      <c r="L26" s="8" t="s">
        <v>53</v>
      </c>
      <c r="M26" s="8"/>
    </row>
    <row r="27" spans="1:13" x14ac:dyDescent="0.35">
      <c r="A27" s="7" t="s">
        <v>79</v>
      </c>
      <c r="B27" s="8" t="s">
        <v>88</v>
      </c>
      <c r="C27" s="8" t="s">
        <v>89</v>
      </c>
      <c r="D27" s="7" t="s">
        <v>18</v>
      </c>
      <c r="E27" s="9">
        <v>0</v>
      </c>
      <c r="F27" s="9">
        <v>10</v>
      </c>
      <c r="G27" s="9">
        <v>50</v>
      </c>
      <c r="H27" s="10">
        <v>0</v>
      </c>
      <c r="I27" s="10" t="str">
        <f t="shared" si="0"/>
        <v/>
      </c>
      <c r="J27" s="11">
        <f t="shared" si="1"/>
        <v>0</v>
      </c>
      <c r="K27" s="7" t="str">
        <f t="shared" si="2"/>
        <v>⚠️ SIN STOCK</v>
      </c>
      <c r="L27" s="8" t="s">
        <v>90</v>
      </c>
      <c r="M27" s="8"/>
    </row>
    <row r="28" spans="1:13" x14ac:dyDescent="0.35">
      <c r="A28" s="7" t="s">
        <v>79</v>
      </c>
      <c r="B28" s="8" t="s">
        <v>91</v>
      </c>
      <c r="C28" s="8" t="s">
        <v>92</v>
      </c>
      <c r="D28" s="7" t="s">
        <v>18</v>
      </c>
      <c r="E28" s="9">
        <v>0</v>
      </c>
      <c r="F28" s="9">
        <v>10</v>
      </c>
      <c r="G28" s="9">
        <v>40</v>
      </c>
      <c r="H28" s="10">
        <v>0</v>
      </c>
      <c r="I28" s="10" t="str">
        <f t="shared" si="0"/>
        <v/>
      </c>
      <c r="J28" s="11">
        <f t="shared" si="1"/>
        <v>0</v>
      </c>
      <c r="K28" s="7" t="str">
        <f t="shared" si="2"/>
        <v>⚠️ SIN STOCK</v>
      </c>
      <c r="L28" s="8" t="s">
        <v>85</v>
      </c>
      <c r="M28" s="8"/>
    </row>
    <row r="29" spans="1:13" x14ac:dyDescent="0.35">
      <c r="A29" s="7" t="s">
        <v>79</v>
      </c>
      <c r="B29" s="8" t="s">
        <v>93</v>
      </c>
      <c r="C29" s="8" t="s">
        <v>94</v>
      </c>
      <c r="D29" s="7" t="s">
        <v>18</v>
      </c>
      <c r="E29" s="9">
        <v>0</v>
      </c>
      <c r="F29" s="9">
        <v>5</v>
      </c>
      <c r="G29" s="9">
        <v>20</v>
      </c>
      <c r="H29" s="10">
        <v>0</v>
      </c>
      <c r="I29" s="10" t="str">
        <f t="shared" si="0"/>
        <v/>
      </c>
      <c r="J29" s="11">
        <f t="shared" si="1"/>
        <v>0</v>
      </c>
      <c r="K29" s="7" t="str">
        <f t="shared" si="2"/>
        <v>⚠️ SIN STOCK</v>
      </c>
      <c r="L29" s="8" t="s">
        <v>63</v>
      </c>
      <c r="M29" s="8"/>
    </row>
    <row r="30" spans="1:13" x14ac:dyDescent="0.35">
      <c r="A30" s="7" t="s">
        <v>79</v>
      </c>
      <c r="B30" s="8" t="s">
        <v>95</v>
      </c>
      <c r="C30" s="8" t="s">
        <v>96</v>
      </c>
      <c r="D30" s="7" t="s">
        <v>18</v>
      </c>
      <c r="E30" s="9">
        <v>0</v>
      </c>
      <c r="F30" s="9">
        <v>5</v>
      </c>
      <c r="G30" s="9">
        <v>20</v>
      </c>
      <c r="H30" s="10">
        <v>0</v>
      </c>
      <c r="I30" s="10" t="str">
        <f t="shared" si="0"/>
        <v/>
      </c>
      <c r="J30" s="11">
        <f t="shared" si="1"/>
        <v>0</v>
      </c>
      <c r="K30" s="7" t="str">
        <f t="shared" si="2"/>
        <v>⚠️ SIN STOCK</v>
      </c>
      <c r="L30" s="8" t="s">
        <v>53</v>
      </c>
      <c r="M30" s="8"/>
    </row>
    <row r="31" spans="1:13" x14ac:dyDescent="0.35">
      <c r="A31" s="7" t="s">
        <v>79</v>
      </c>
      <c r="B31" s="8" t="s">
        <v>97</v>
      </c>
      <c r="C31" s="8" t="s">
        <v>98</v>
      </c>
      <c r="D31" s="7" t="s">
        <v>18</v>
      </c>
      <c r="E31" s="9">
        <v>0</v>
      </c>
      <c r="F31" s="9">
        <v>5</v>
      </c>
      <c r="G31" s="9">
        <v>20</v>
      </c>
      <c r="H31" s="10">
        <v>0</v>
      </c>
      <c r="I31" s="10" t="str">
        <f t="shared" si="0"/>
        <v/>
      </c>
      <c r="J31" s="11">
        <f t="shared" si="1"/>
        <v>0</v>
      </c>
      <c r="K31" s="7" t="str">
        <f t="shared" si="2"/>
        <v>⚠️ SIN STOCK</v>
      </c>
      <c r="L31" s="8" t="s">
        <v>63</v>
      </c>
      <c r="M31" s="8"/>
    </row>
    <row r="32" spans="1:13" x14ac:dyDescent="0.35">
      <c r="A32" s="7" t="s">
        <v>79</v>
      </c>
      <c r="B32" s="8" t="s">
        <v>99</v>
      </c>
      <c r="C32" s="8" t="s">
        <v>100</v>
      </c>
      <c r="D32" s="7" t="s">
        <v>45</v>
      </c>
      <c r="E32" s="9">
        <v>0</v>
      </c>
      <c r="F32" s="9">
        <v>10</v>
      </c>
      <c r="G32" s="9">
        <v>50</v>
      </c>
      <c r="H32" s="10">
        <v>0</v>
      </c>
      <c r="I32" s="10" t="str">
        <f t="shared" si="0"/>
        <v/>
      </c>
      <c r="J32" s="11">
        <f t="shared" si="1"/>
        <v>0</v>
      </c>
      <c r="K32" s="7" t="str">
        <f t="shared" si="2"/>
        <v>⚠️ SIN STOCK</v>
      </c>
      <c r="L32" s="8" t="s">
        <v>101</v>
      </c>
      <c r="M32" s="8"/>
    </row>
    <row r="33" spans="1:13" x14ac:dyDescent="0.35">
      <c r="A33" s="7" t="s">
        <v>79</v>
      </c>
      <c r="B33" s="8" t="s">
        <v>102</v>
      </c>
      <c r="C33" s="8" t="s">
        <v>103</v>
      </c>
      <c r="D33" s="7" t="s">
        <v>18</v>
      </c>
      <c r="E33" s="9">
        <v>0</v>
      </c>
      <c r="F33" s="9">
        <v>10</v>
      </c>
      <c r="G33" s="9">
        <v>40</v>
      </c>
      <c r="H33" s="10">
        <v>0</v>
      </c>
      <c r="I33" s="10" t="str">
        <f t="shared" si="0"/>
        <v/>
      </c>
      <c r="J33" s="11">
        <f t="shared" si="1"/>
        <v>0</v>
      </c>
      <c r="K33" s="7" t="str">
        <f t="shared" si="2"/>
        <v>⚠️ SIN STOCK</v>
      </c>
      <c r="L33" s="8" t="s">
        <v>104</v>
      </c>
      <c r="M33" s="8"/>
    </row>
    <row r="34" spans="1:13" x14ac:dyDescent="0.35">
      <c r="A34" s="7" t="s">
        <v>79</v>
      </c>
      <c r="B34" s="8" t="s">
        <v>105</v>
      </c>
      <c r="C34" s="8" t="s">
        <v>106</v>
      </c>
      <c r="D34" s="7" t="s">
        <v>18</v>
      </c>
      <c r="E34" s="9">
        <v>0</v>
      </c>
      <c r="F34" s="9">
        <v>5</v>
      </c>
      <c r="G34" s="9">
        <v>20</v>
      </c>
      <c r="H34" s="10">
        <v>0</v>
      </c>
      <c r="I34" s="10" t="str">
        <f t="shared" si="0"/>
        <v/>
      </c>
      <c r="J34" s="11">
        <f t="shared" si="1"/>
        <v>0</v>
      </c>
      <c r="K34" s="7" t="str">
        <f t="shared" si="2"/>
        <v>⚠️ SIN STOCK</v>
      </c>
      <c r="L34" s="8" t="s">
        <v>53</v>
      </c>
      <c r="M34" s="8" t="s">
        <v>107</v>
      </c>
    </row>
    <row r="35" spans="1:13" x14ac:dyDescent="0.35">
      <c r="A35" s="7" t="s">
        <v>79</v>
      </c>
      <c r="B35" s="8" t="s">
        <v>108</v>
      </c>
      <c r="C35" s="8" t="s">
        <v>109</v>
      </c>
      <c r="D35" s="7" t="s">
        <v>18</v>
      </c>
      <c r="E35" s="9">
        <v>0</v>
      </c>
      <c r="F35" s="9">
        <v>5</v>
      </c>
      <c r="G35" s="9">
        <v>20</v>
      </c>
      <c r="H35" s="10">
        <v>0</v>
      </c>
      <c r="I35" s="10" t="str">
        <f t="shared" si="0"/>
        <v/>
      </c>
      <c r="J35" s="11">
        <f t="shared" si="1"/>
        <v>0</v>
      </c>
      <c r="K35" s="7" t="str">
        <f t="shared" si="2"/>
        <v>⚠️ SIN STOCK</v>
      </c>
      <c r="L35" s="8" t="s">
        <v>53</v>
      </c>
      <c r="M35" s="8"/>
    </row>
    <row r="36" spans="1:13" x14ac:dyDescent="0.35">
      <c r="A36" s="7" t="s">
        <v>79</v>
      </c>
      <c r="B36" s="8" t="s">
        <v>110</v>
      </c>
      <c r="C36" s="8" t="s">
        <v>111</v>
      </c>
      <c r="D36" s="7" t="s">
        <v>18</v>
      </c>
      <c r="E36" s="9">
        <v>0</v>
      </c>
      <c r="F36" s="9">
        <v>5</v>
      </c>
      <c r="G36" s="9">
        <v>20</v>
      </c>
      <c r="H36" s="10">
        <v>0</v>
      </c>
      <c r="I36" s="10" t="str">
        <f t="shared" ref="I36:I67" si="3">IF(H36&gt;0,E36*H36,"")</f>
        <v/>
      </c>
      <c r="J36" s="11">
        <f t="shared" ref="J36:J67" si="4">IF(G36&gt;0,E36/G36,"")</f>
        <v>0</v>
      </c>
      <c r="K36" s="7" t="str">
        <f t="shared" ref="K36:K67" si="5">IF(E36=0,"⚠️ SIN STOCK",IF(E36&lt;F36,"🔴 REPONER",IF(E36&lt;F36*1.5,"🟡 BAJO","🟢 OK")))</f>
        <v>⚠️ SIN STOCK</v>
      </c>
      <c r="L36" s="8" t="s">
        <v>112</v>
      </c>
      <c r="M36" s="8"/>
    </row>
    <row r="37" spans="1:13" x14ac:dyDescent="0.35">
      <c r="A37" s="12" t="s">
        <v>113</v>
      </c>
      <c r="B37" s="13" t="s">
        <v>114</v>
      </c>
      <c r="C37" s="13" t="s">
        <v>115</v>
      </c>
      <c r="D37" s="12" t="s">
        <v>18</v>
      </c>
      <c r="E37" s="14">
        <v>0</v>
      </c>
      <c r="F37" s="14">
        <v>20</v>
      </c>
      <c r="G37" s="14">
        <v>100</v>
      </c>
      <c r="H37" s="15">
        <v>0</v>
      </c>
      <c r="I37" s="15" t="str">
        <f t="shared" si="3"/>
        <v/>
      </c>
      <c r="J37" s="16">
        <f t="shared" si="4"/>
        <v>0</v>
      </c>
      <c r="K37" s="12" t="str">
        <f t="shared" si="5"/>
        <v>⚠️ SIN STOCK</v>
      </c>
      <c r="L37" s="13" t="s">
        <v>116</v>
      </c>
      <c r="M37" s="13"/>
    </row>
    <row r="38" spans="1:13" x14ac:dyDescent="0.35">
      <c r="A38" s="12" t="s">
        <v>113</v>
      </c>
      <c r="B38" s="13" t="s">
        <v>117</v>
      </c>
      <c r="C38" s="13" t="s">
        <v>118</v>
      </c>
      <c r="D38" s="12" t="s">
        <v>18</v>
      </c>
      <c r="E38" s="14">
        <v>0</v>
      </c>
      <c r="F38" s="14">
        <v>10</v>
      </c>
      <c r="G38" s="14">
        <v>50</v>
      </c>
      <c r="H38" s="15">
        <v>0</v>
      </c>
      <c r="I38" s="15" t="str">
        <f t="shared" si="3"/>
        <v/>
      </c>
      <c r="J38" s="16">
        <f t="shared" si="4"/>
        <v>0</v>
      </c>
      <c r="K38" s="12" t="str">
        <f t="shared" si="5"/>
        <v>⚠️ SIN STOCK</v>
      </c>
      <c r="L38" s="13" t="s">
        <v>63</v>
      </c>
      <c r="M38" s="13"/>
    </row>
    <row r="39" spans="1:13" x14ac:dyDescent="0.35">
      <c r="A39" s="12" t="s">
        <v>113</v>
      </c>
      <c r="B39" s="13" t="s">
        <v>119</v>
      </c>
      <c r="C39" s="13" t="s">
        <v>120</v>
      </c>
      <c r="D39" s="12" t="s">
        <v>18</v>
      </c>
      <c r="E39" s="14">
        <v>0</v>
      </c>
      <c r="F39" s="14">
        <v>10</v>
      </c>
      <c r="G39" s="14">
        <v>50</v>
      </c>
      <c r="H39" s="15">
        <v>0</v>
      </c>
      <c r="I39" s="15" t="str">
        <f t="shared" si="3"/>
        <v/>
      </c>
      <c r="J39" s="16">
        <f t="shared" si="4"/>
        <v>0</v>
      </c>
      <c r="K39" s="12" t="str">
        <f t="shared" si="5"/>
        <v>⚠️ SIN STOCK</v>
      </c>
      <c r="L39" s="13" t="s">
        <v>121</v>
      </c>
      <c r="M39" s="13"/>
    </row>
    <row r="40" spans="1:13" x14ac:dyDescent="0.35">
      <c r="A40" s="12" t="s">
        <v>113</v>
      </c>
      <c r="B40" s="13" t="s">
        <v>122</v>
      </c>
      <c r="C40" s="13" t="s">
        <v>123</v>
      </c>
      <c r="D40" s="12" t="s">
        <v>18</v>
      </c>
      <c r="E40" s="14">
        <v>0</v>
      </c>
      <c r="F40" s="14">
        <v>5</v>
      </c>
      <c r="G40" s="14">
        <v>30</v>
      </c>
      <c r="H40" s="15">
        <v>0</v>
      </c>
      <c r="I40" s="15" t="str">
        <f t="shared" si="3"/>
        <v/>
      </c>
      <c r="J40" s="16">
        <f t="shared" si="4"/>
        <v>0</v>
      </c>
      <c r="K40" s="12" t="str">
        <f t="shared" si="5"/>
        <v>⚠️ SIN STOCK</v>
      </c>
      <c r="L40" s="13" t="s">
        <v>49</v>
      </c>
      <c r="M40" s="13"/>
    </row>
    <row r="41" spans="1:13" x14ac:dyDescent="0.35">
      <c r="A41" s="12" t="s">
        <v>113</v>
      </c>
      <c r="B41" s="13" t="s">
        <v>124</v>
      </c>
      <c r="C41" s="13" t="s">
        <v>125</v>
      </c>
      <c r="D41" s="12" t="s">
        <v>18</v>
      </c>
      <c r="E41" s="14">
        <v>0</v>
      </c>
      <c r="F41" s="14">
        <v>5</v>
      </c>
      <c r="G41" s="14">
        <v>20</v>
      </c>
      <c r="H41" s="15">
        <v>0</v>
      </c>
      <c r="I41" s="15" t="str">
        <f t="shared" si="3"/>
        <v/>
      </c>
      <c r="J41" s="16">
        <f t="shared" si="4"/>
        <v>0</v>
      </c>
      <c r="K41" s="12" t="str">
        <f t="shared" si="5"/>
        <v>⚠️ SIN STOCK</v>
      </c>
      <c r="L41" s="13" t="s">
        <v>90</v>
      </c>
      <c r="M41" s="13" t="s">
        <v>126</v>
      </c>
    </row>
    <row r="42" spans="1:13" x14ac:dyDescent="0.35">
      <c r="A42" s="12" t="s">
        <v>113</v>
      </c>
      <c r="B42" s="13" t="s">
        <v>127</v>
      </c>
      <c r="C42" s="13" t="s">
        <v>128</v>
      </c>
      <c r="D42" s="12" t="s">
        <v>18</v>
      </c>
      <c r="E42" s="14">
        <v>0</v>
      </c>
      <c r="F42" s="14">
        <v>5</v>
      </c>
      <c r="G42" s="14">
        <v>20</v>
      </c>
      <c r="H42" s="15">
        <v>0</v>
      </c>
      <c r="I42" s="15" t="str">
        <f t="shared" si="3"/>
        <v/>
      </c>
      <c r="J42" s="16">
        <f t="shared" si="4"/>
        <v>0</v>
      </c>
      <c r="K42" s="12" t="str">
        <f t="shared" si="5"/>
        <v>⚠️ SIN STOCK</v>
      </c>
      <c r="L42" s="13" t="s">
        <v>112</v>
      </c>
      <c r="M42" s="13" t="s">
        <v>126</v>
      </c>
    </row>
    <row r="43" spans="1:13" x14ac:dyDescent="0.35">
      <c r="A43" s="12" t="s">
        <v>113</v>
      </c>
      <c r="B43" s="13" t="s">
        <v>129</v>
      </c>
      <c r="C43" s="13" t="s">
        <v>130</v>
      </c>
      <c r="D43" s="12" t="s">
        <v>18</v>
      </c>
      <c r="E43" s="14">
        <v>0</v>
      </c>
      <c r="F43" s="14">
        <v>5</v>
      </c>
      <c r="G43" s="14">
        <v>20</v>
      </c>
      <c r="H43" s="15">
        <v>0</v>
      </c>
      <c r="I43" s="15" t="str">
        <f t="shared" si="3"/>
        <v/>
      </c>
      <c r="J43" s="16">
        <f t="shared" si="4"/>
        <v>0</v>
      </c>
      <c r="K43" s="12" t="str">
        <f t="shared" si="5"/>
        <v>⚠️ SIN STOCK</v>
      </c>
      <c r="L43" s="13" t="s">
        <v>49</v>
      </c>
      <c r="M43" s="13" t="s">
        <v>131</v>
      </c>
    </row>
    <row r="44" spans="1:13" x14ac:dyDescent="0.35">
      <c r="A44" s="12" t="s">
        <v>113</v>
      </c>
      <c r="B44" s="13" t="s">
        <v>132</v>
      </c>
      <c r="C44" s="13" t="s">
        <v>133</v>
      </c>
      <c r="D44" s="12" t="s">
        <v>18</v>
      </c>
      <c r="E44" s="14">
        <v>0</v>
      </c>
      <c r="F44" s="14">
        <v>10</v>
      </c>
      <c r="G44" s="14">
        <v>40</v>
      </c>
      <c r="H44" s="15">
        <v>0</v>
      </c>
      <c r="I44" s="15" t="str">
        <f t="shared" si="3"/>
        <v/>
      </c>
      <c r="J44" s="16">
        <f t="shared" si="4"/>
        <v>0</v>
      </c>
      <c r="K44" s="12" t="str">
        <f t="shared" si="5"/>
        <v>⚠️ SIN STOCK</v>
      </c>
      <c r="L44" s="13" t="s">
        <v>36</v>
      </c>
      <c r="M44" s="13"/>
    </row>
    <row r="45" spans="1:13" x14ac:dyDescent="0.35">
      <c r="A45" s="12" t="s">
        <v>113</v>
      </c>
      <c r="B45" s="13" t="s">
        <v>134</v>
      </c>
      <c r="C45" s="13" t="s">
        <v>135</v>
      </c>
      <c r="D45" s="12" t="s">
        <v>18</v>
      </c>
      <c r="E45" s="14">
        <v>0</v>
      </c>
      <c r="F45" s="14">
        <v>10</v>
      </c>
      <c r="G45" s="14">
        <v>40</v>
      </c>
      <c r="H45" s="15">
        <v>0</v>
      </c>
      <c r="I45" s="15" t="str">
        <f t="shared" si="3"/>
        <v/>
      </c>
      <c r="J45" s="16">
        <f t="shared" si="4"/>
        <v>0</v>
      </c>
      <c r="K45" s="12" t="str">
        <f t="shared" si="5"/>
        <v>⚠️ SIN STOCK</v>
      </c>
      <c r="L45" s="13" t="s">
        <v>36</v>
      </c>
      <c r="M45" s="13"/>
    </row>
    <row r="46" spans="1:13" x14ac:dyDescent="0.35">
      <c r="A46" s="12" t="s">
        <v>113</v>
      </c>
      <c r="B46" s="13" t="s">
        <v>136</v>
      </c>
      <c r="C46" s="13" t="s">
        <v>137</v>
      </c>
      <c r="D46" s="12" t="s">
        <v>18</v>
      </c>
      <c r="E46" s="14">
        <v>0</v>
      </c>
      <c r="F46" s="14">
        <v>10</v>
      </c>
      <c r="G46" s="14">
        <v>40</v>
      </c>
      <c r="H46" s="15">
        <v>0</v>
      </c>
      <c r="I46" s="15" t="str">
        <f t="shared" si="3"/>
        <v/>
      </c>
      <c r="J46" s="16">
        <f t="shared" si="4"/>
        <v>0</v>
      </c>
      <c r="K46" s="12" t="str">
        <f t="shared" si="5"/>
        <v>⚠️ SIN STOCK</v>
      </c>
      <c r="L46" s="13" t="s">
        <v>138</v>
      </c>
      <c r="M46" s="13" t="s">
        <v>139</v>
      </c>
    </row>
    <row r="47" spans="1:13" x14ac:dyDescent="0.35">
      <c r="A47" s="12" t="s">
        <v>113</v>
      </c>
      <c r="B47" s="13" t="s">
        <v>140</v>
      </c>
      <c r="C47" s="13" t="s">
        <v>141</v>
      </c>
      <c r="D47" s="12" t="s">
        <v>18</v>
      </c>
      <c r="E47" s="14">
        <v>0</v>
      </c>
      <c r="F47" s="14">
        <v>2</v>
      </c>
      <c r="G47" s="14">
        <v>10</v>
      </c>
      <c r="H47" s="15">
        <v>0</v>
      </c>
      <c r="I47" s="15" t="str">
        <f t="shared" si="3"/>
        <v/>
      </c>
      <c r="J47" s="16">
        <f t="shared" si="4"/>
        <v>0</v>
      </c>
      <c r="K47" s="12" t="str">
        <f t="shared" si="5"/>
        <v>⚠️ SIN STOCK</v>
      </c>
      <c r="L47" s="13" t="s">
        <v>142</v>
      </c>
      <c r="M47" s="13"/>
    </row>
    <row r="48" spans="1:13" x14ac:dyDescent="0.35">
      <c r="A48" s="12" t="s">
        <v>113</v>
      </c>
      <c r="B48" s="13" t="s">
        <v>143</v>
      </c>
      <c r="C48" s="13" t="s">
        <v>144</v>
      </c>
      <c r="D48" s="12" t="s">
        <v>18</v>
      </c>
      <c r="E48" s="14">
        <v>0</v>
      </c>
      <c r="F48" s="14">
        <v>2</v>
      </c>
      <c r="G48" s="14">
        <v>10</v>
      </c>
      <c r="H48" s="15">
        <v>0</v>
      </c>
      <c r="I48" s="15" t="str">
        <f t="shared" si="3"/>
        <v/>
      </c>
      <c r="J48" s="16">
        <f t="shared" si="4"/>
        <v>0</v>
      </c>
      <c r="K48" s="12" t="str">
        <f t="shared" si="5"/>
        <v>⚠️ SIN STOCK</v>
      </c>
      <c r="L48" s="13" t="s">
        <v>63</v>
      </c>
      <c r="M48" s="13"/>
    </row>
    <row r="49" spans="1:13" x14ac:dyDescent="0.35">
      <c r="A49" s="12" t="s">
        <v>113</v>
      </c>
      <c r="B49" s="13" t="s">
        <v>145</v>
      </c>
      <c r="C49" s="13" t="s">
        <v>146</v>
      </c>
      <c r="D49" s="12" t="s">
        <v>18</v>
      </c>
      <c r="E49" s="14">
        <v>0</v>
      </c>
      <c r="F49" s="14">
        <v>10</v>
      </c>
      <c r="G49" s="14">
        <v>50</v>
      </c>
      <c r="H49" s="15">
        <v>0</v>
      </c>
      <c r="I49" s="15" t="str">
        <f t="shared" si="3"/>
        <v/>
      </c>
      <c r="J49" s="16">
        <f t="shared" si="4"/>
        <v>0</v>
      </c>
      <c r="K49" s="12" t="str">
        <f t="shared" si="5"/>
        <v>⚠️ SIN STOCK</v>
      </c>
      <c r="L49" s="13" t="s">
        <v>36</v>
      </c>
      <c r="M49" s="13" t="s">
        <v>147</v>
      </c>
    </row>
    <row r="50" spans="1:13" x14ac:dyDescent="0.35">
      <c r="A50" s="17" t="s">
        <v>148</v>
      </c>
      <c r="B50" s="18" t="s">
        <v>149</v>
      </c>
      <c r="C50" s="18" t="s">
        <v>150</v>
      </c>
      <c r="D50" s="17" t="s">
        <v>18</v>
      </c>
      <c r="E50" s="19">
        <v>0</v>
      </c>
      <c r="F50" s="19">
        <v>10</v>
      </c>
      <c r="G50" s="19">
        <v>50</v>
      </c>
      <c r="H50" s="20">
        <v>0</v>
      </c>
      <c r="I50" s="20" t="str">
        <f t="shared" si="3"/>
        <v/>
      </c>
      <c r="J50" s="21">
        <f t="shared" si="4"/>
        <v>0</v>
      </c>
      <c r="K50" s="17" t="str">
        <f t="shared" si="5"/>
        <v>⚠️ SIN STOCK</v>
      </c>
      <c r="L50" s="18" t="s">
        <v>151</v>
      </c>
      <c r="M50" s="18"/>
    </row>
    <row r="51" spans="1:13" x14ac:dyDescent="0.35">
      <c r="A51" s="17" t="s">
        <v>148</v>
      </c>
      <c r="B51" s="18" t="s">
        <v>152</v>
      </c>
      <c r="C51" s="18" t="s">
        <v>153</v>
      </c>
      <c r="D51" s="17" t="s">
        <v>18</v>
      </c>
      <c r="E51" s="19">
        <v>0</v>
      </c>
      <c r="F51" s="19">
        <v>5</v>
      </c>
      <c r="G51" s="19">
        <v>20</v>
      </c>
      <c r="H51" s="20">
        <v>0</v>
      </c>
      <c r="I51" s="20" t="str">
        <f t="shared" si="3"/>
        <v/>
      </c>
      <c r="J51" s="21">
        <f t="shared" si="4"/>
        <v>0</v>
      </c>
      <c r="K51" s="17" t="str">
        <f t="shared" si="5"/>
        <v>⚠️ SIN STOCK</v>
      </c>
      <c r="L51" s="18" t="s">
        <v>112</v>
      </c>
      <c r="M51" s="18"/>
    </row>
    <row r="52" spans="1:13" x14ac:dyDescent="0.35">
      <c r="A52" s="17" t="s">
        <v>148</v>
      </c>
      <c r="B52" s="18" t="s">
        <v>154</v>
      </c>
      <c r="C52" s="18" t="s">
        <v>155</v>
      </c>
      <c r="D52" s="17" t="s">
        <v>18</v>
      </c>
      <c r="E52" s="19">
        <v>0</v>
      </c>
      <c r="F52" s="19">
        <v>5</v>
      </c>
      <c r="G52" s="19">
        <v>20</v>
      </c>
      <c r="H52" s="20">
        <v>0</v>
      </c>
      <c r="I52" s="20" t="str">
        <f t="shared" si="3"/>
        <v/>
      </c>
      <c r="J52" s="21">
        <f t="shared" si="4"/>
        <v>0</v>
      </c>
      <c r="K52" s="17" t="str">
        <f t="shared" si="5"/>
        <v>⚠️ SIN STOCK</v>
      </c>
      <c r="L52" s="18" t="s">
        <v>63</v>
      </c>
      <c r="M52" s="18"/>
    </row>
    <row r="53" spans="1:13" x14ac:dyDescent="0.35">
      <c r="A53" s="17" t="s">
        <v>148</v>
      </c>
      <c r="B53" s="18" t="s">
        <v>156</v>
      </c>
      <c r="C53" s="18" t="s">
        <v>157</v>
      </c>
      <c r="D53" s="17" t="s">
        <v>18</v>
      </c>
      <c r="E53" s="19">
        <v>0</v>
      </c>
      <c r="F53" s="19">
        <v>5</v>
      </c>
      <c r="G53" s="19">
        <v>20</v>
      </c>
      <c r="H53" s="20">
        <v>0</v>
      </c>
      <c r="I53" s="20" t="str">
        <f t="shared" si="3"/>
        <v/>
      </c>
      <c r="J53" s="21">
        <f t="shared" si="4"/>
        <v>0</v>
      </c>
      <c r="K53" s="17" t="str">
        <f t="shared" si="5"/>
        <v>⚠️ SIN STOCK</v>
      </c>
      <c r="L53" s="18" t="s">
        <v>158</v>
      </c>
      <c r="M53" s="18"/>
    </row>
    <row r="54" spans="1:13" x14ac:dyDescent="0.35">
      <c r="A54" s="17" t="s">
        <v>148</v>
      </c>
      <c r="B54" s="18" t="s">
        <v>159</v>
      </c>
      <c r="C54" s="18" t="s">
        <v>160</v>
      </c>
      <c r="D54" s="17" t="s">
        <v>45</v>
      </c>
      <c r="E54" s="19">
        <v>0</v>
      </c>
      <c r="F54" s="19">
        <v>2</v>
      </c>
      <c r="G54" s="19">
        <v>10</v>
      </c>
      <c r="H54" s="20">
        <v>0</v>
      </c>
      <c r="I54" s="20" t="str">
        <f t="shared" si="3"/>
        <v/>
      </c>
      <c r="J54" s="21">
        <f t="shared" si="4"/>
        <v>0</v>
      </c>
      <c r="K54" s="17" t="str">
        <f t="shared" si="5"/>
        <v>⚠️ SIN STOCK</v>
      </c>
      <c r="L54" s="18" t="s">
        <v>161</v>
      </c>
      <c r="M54" s="18" t="s">
        <v>162</v>
      </c>
    </row>
    <row r="55" spans="1:13" x14ac:dyDescent="0.35">
      <c r="A55" s="17" t="s">
        <v>148</v>
      </c>
      <c r="B55" s="18" t="s">
        <v>163</v>
      </c>
      <c r="C55" s="18" t="s">
        <v>164</v>
      </c>
      <c r="D55" s="17" t="s">
        <v>45</v>
      </c>
      <c r="E55" s="19">
        <v>0</v>
      </c>
      <c r="F55" s="19">
        <v>5</v>
      </c>
      <c r="G55" s="19">
        <v>30</v>
      </c>
      <c r="H55" s="20">
        <v>0</v>
      </c>
      <c r="I55" s="20" t="str">
        <f t="shared" si="3"/>
        <v/>
      </c>
      <c r="J55" s="21">
        <f t="shared" si="4"/>
        <v>0</v>
      </c>
      <c r="K55" s="17" t="str">
        <f t="shared" si="5"/>
        <v>⚠️ SIN STOCK</v>
      </c>
      <c r="L55" s="18" t="s">
        <v>165</v>
      </c>
      <c r="M55" s="18"/>
    </row>
    <row r="56" spans="1:13" x14ac:dyDescent="0.35">
      <c r="A56" s="17" t="s">
        <v>148</v>
      </c>
      <c r="B56" s="18" t="s">
        <v>166</v>
      </c>
      <c r="C56" s="18" t="s">
        <v>167</v>
      </c>
      <c r="D56" s="17" t="s">
        <v>18</v>
      </c>
      <c r="E56" s="19">
        <v>0</v>
      </c>
      <c r="F56" s="19">
        <v>5</v>
      </c>
      <c r="G56" s="19">
        <v>20</v>
      </c>
      <c r="H56" s="20">
        <v>0</v>
      </c>
      <c r="I56" s="20" t="str">
        <f t="shared" si="3"/>
        <v/>
      </c>
      <c r="J56" s="21">
        <f t="shared" si="4"/>
        <v>0</v>
      </c>
      <c r="K56" s="17" t="str">
        <f t="shared" si="5"/>
        <v>⚠️ SIN STOCK</v>
      </c>
      <c r="L56" s="18" t="s">
        <v>168</v>
      </c>
      <c r="M56" s="18"/>
    </row>
    <row r="57" spans="1:13" x14ac:dyDescent="0.35">
      <c r="A57" s="17" t="s">
        <v>148</v>
      </c>
      <c r="B57" s="18" t="s">
        <v>169</v>
      </c>
      <c r="C57" s="18" t="s">
        <v>170</v>
      </c>
      <c r="D57" s="17" t="s">
        <v>18</v>
      </c>
      <c r="E57" s="19">
        <v>0</v>
      </c>
      <c r="F57" s="19">
        <v>5</v>
      </c>
      <c r="G57" s="19">
        <v>20</v>
      </c>
      <c r="H57" s="20">
        <v>0</v>
      </c>
      <c r="I57" s="20" t="str">
        <f t="shared" si="3"/>
        <v/>
      </c>
      <c r="J57" s="21">
        <f t="shared" si="4"/>
        <v>0</v>
      </c>
      <c r="K57" s="17" t="str">
        <f t="shared" si="5"/>
        <v>⚠️ SIN STOCK</v>
      </c>
      <c r="L57" s="18" t="s">
        <v>171</v>
      </c>
      <c r="M57" s="18"/>
    </row>
    <row r="58" spans="1:13" x14ac:dyDescent="0.35">
      <c r="A58" s="22" t="s">
        <v>172</v>
      </c>
      <c r="B58" s="23" t="s">
        <v>173</v>
      </c>
      <c r="C58" s="23" t="s">
        <v>174</v>
      </c>
      <c r="D58" s="22" t="s">
        <v>175</v>
      </c>
      <c r="E58" s="24">
        <v>0</v>
      </c>
      <c r="F58" s="24">
        <v>2</v>
      </c>
      <c r="G58" s="24">
        <v>20</v>
      </c>
      <c r="H58" s="25">
        <v>0</v>
      </c>
      <c r="I58" s="25" t="str">
        <f t="shared" si="3"/>
        <v/>
      </c>
      <c r="J58" s="26">
        <f t="shared" si="4"/>
        <v>0</v>
      </c>
      <c r="K58" s="22" t="str">
        <f t="shared" si="5"/>
        <v>⚠️ SIN STOCK</v>
      </c>
      <c r="L58" s="23" t="s">
        <v>176</v>
      </c>
      <c r="M58" s="23"/>
    </row>
    <row r="59" spans="1:13" x14ac:dyDescent="0.35">
      <c r="A59" s="22" t="s">
        <v>172</v>
      </c>
      <c r="B59" s="23" t="s">
        <v>177</v>
      </c>
      <c r="C59" s="23" t="s">
        <v>178</v>
      </c>
      <c r="D59" s="22" t="s">
        <v>18</v>
      </c>
      <c r="E59" s="24">
        <v>0</v>
      </c>
      <c r="F59" s="24">
        <v>1000</v>
      </c>
      <c r="G59" s="24">
        <v>10000</v>
      </c>
      <c r="H59" s="25">
        <v>0</v>
      </c>
      <c r="I59" s="25" t="str">
        <f t="shared" si="3"/>
        <v/>
      </c>
      <c r="J59" s="26">
        <f t="shared" si="4"/>
        <v>0</v>
      </c>
      <c r="K59" s="22" t="str">
        <f t="shared" si="5"/>
        <v>⚠️ SIN STOCK</v>
      </c>
      <c r="L59" s="23" t="s">
        <v>179</v>
      </c>
      <c r="M59" s="23"/>
    </row>
    <row r="60" spans="1:13" x14ac:dyDescent="0.35">
      <c r="A60" s="22" t="s">
        <v>172</v>
      </c>
      <c r="B60" s="23" t="s">
        <v>180</v>
      </c>
      <c r="C60" s="23" t="s">
        <v>181</v>
      </c>
      <c r="D60" s="22" t="s">
        <v>175</v>
      </c>
      <c r="E60" s="24">
        <v>0</v>
      </c>
      <c r="F60" s="24">
        <v>1</v>
      </c>
      <c r="G60" s="24">
        <v>10</v>
      </c>
      <c r="H60" s="25">
        <v>0</v>
      </c>
      <c r="I60" s="25" t="str">
        <f t="shared" si="3"/>
        <v/>
      </c>
      <c r="J60" s="26">
        <f t="shared" si="4"/>
        <v>0</v>
      </c>
      <c r="K60" s="22" t="str">
        <f t="shared" si="5"/>
        <v>⚠️ SIN STOCK</v>
      </c>
      <c r="L60" s="23" t="s">
        <v>182</v>
      </c>
      <c r="M60" s="23"/>
    </row>
    <row r="61" spans="1:13" x14ac:dyDescent="0.35">
      <c r="A61" s="22" t="s">
        <v>172</v>
      </c>
      <c r="B61" s="23" t="s">
        <v>183</v>
      </c>
      <c r="C61" s="23" t="s">
        <v>184</v>
      </c>
      <c r="D61" s="22" t="s">
        <v>175</v>
      </c>
      <c r="E61" s="24">
        <v>0</v>
      </c>
      <c r="F61" s="24">
        <v>1</v>
      </c>
      <c r="G61" s="24">
        <v>10</v>
      </c>
      <c r="H61" s="25">
        <v>0</v>
      </c>
      <c r="I61" s="25" t="str">
        <f t="shared" si="3"/>
        <v/>
      </c>
      <c r="J61" s="26">
        <f t="shared" si="4"/>
        <v>0</v>
      </c>
      <c r="K61" s="22" t="str">
        <f t="shared" si="5"/>
        <v>⚠️ SIN STOCK</v>
      </c>
      <c r="L61" s="23" t="s">
        <v>185</v>
      </c>
      <c r="M61" s="23"/>
    </row>
    <row r="62" spans="1:13" x14ac:dyDescent="0.35">
      <c r="A62" s="22" t="s">
        <v>172</v>
      </c>
      <c r="B62" s="23" t="s">
        <v>186</v>
      </c>
      <c r="C62" s="23" t="s">
        <v>187</v>
      </c>
      <c r="D62" s="22" t="s">
        <v>175</v>
      </c>
      <c r="E62" s="24">
        <v>0</v>
      </c>
      <c r="F62" s="24">
        <v>1</v>
      </c>
      <c r="G62" s="24">
        <v>10</v>
      </c>
      <c r="H62" s="25">
        <v>0</v>
      </c>
      <c r="I62" s="25" t="str">
        <f t="shared" si="3"/>
        <v/>
      </c>
      <c r="J62" s="26">
        <f t="shared" si="4"/>
        <v>0</v>
      </c>
      <c r="K62" s="22" t="str">
        <f t="shared" si="5"/>
        <v>⚠️ SIN STOCK</v>
      </c>
      <c r="L62" s="23" t="s">
        <v>185</v>
      </c>
      <c r="M62" s="23"/>
    </row>
    <row r="63" spans="1:13" x14ac:dyDescent="0.35">
      <c r="A63" s="22" t="s">
        <v>172</v>
      </c>
      <c r="B63" s="23" t="s">
        <v>188</v>
      </c>
      <c r="C63" s="23" t="s">
        <v>189</v>
      </c>
      <c r="D63" s="22" t="s">
        <v>175</v>
      </c>
      <c r="E63" s="24">
        <v>0</v>
      </c>
      <c r="F63" s="24">
        <v>1</v>
      </c>
      <c r="G63" s="24">
        <v>10</v>
      </c>
      <c r="H63" s="25">
        <v>0</v>
      </c>
      <c r="I63" s="25" t="str">
        <f t="shared" si="3"/>
        <v/>
      </c>
      <c r="J63" s="26">
        <f t="shared" si="4"/>
        <v>0</v>
      </c>
      <c r="K63" s="22" t="str">
        <f t="shared" si="5"/>
        <v>⚠️ SIN STOCK</v>
      </c>
      <c r="L63" s="23" t="s">
        <v>190</v>
      </c>
      <c r="M63" s="23"/>
    </row>
    <row r="64" spans="1:13" x14ac:dyDescent="0.35">
      <c r="A64" s="22" t="s">
        <v>172</v>
      </c>
      <c r="B64" s="23" t="s">
        <v>191</v>
      </c>
      <c r="C64" s="23" t="s">
        <v>192</v>
      </c>
      <c r="D64" s="22" t="s">
        <v>175</v>
      </c>
      <c r="E64" s="24">
        <v>0</v>
      </c>
      <c r="F64" s="24">
        <v>1</v>
      </c>
      <c r="G64" s="24">
        <v>5</v>
      </c>
      <c r="H64" s="25">
        <v>0</v>
      </c>
      <c r="I64" s="25" t="str">
        <f t="shared" si="3"/>
        <v/>
      </c>
      <c r="J64" s="26">
        <f t="shared" si="4"/>
        <v>0</v>
      </c>
      <c r="K64" s="22" t="str">
        <f t="shared" si="5"/>
        <v>⚠️ SIN STOCK</v>
      </c>
      <c r="L64" s="23" t="s">
        <v>193</v>
      </c>
      <c r="M64" s="23" t="s">
        <v>194</v>
      </c>
    </row>
    <row r="65" spans="1:13" x14ac:dyDescent="0.35">
      <c r="A65" s="22" t="s">
        <v>172</v>
      </c>
      <c r="B65" s="23" t="s">
        <v>195</v>
      </c>
      <c r="C65" s="23" t="s">
        <v>196</v>
      </c>
      <c r="D65" s="22" t="s">
        <v>175</v>
      </c>
      <c r="E65" s="24">
        <v>0</v>
      </c>
      <c r="F65" s="24">
        <v>0.5</v>
      </c>
      <c r="G65" s="24">
        <v>3</v>
      </c>
      <c r="H65" s="25">
        <v>0</v>
      </c>
      <c r="I65" s="25" t="str">
        <f t="shared" si="3"/>
        <v/>
      </c>
      <c r="J65" s="26">
        <f t="shared" si="4"/>
        <v>0</v>
      </c>
      <c r="K65" s="22" t="str">
        <f t="shared" si="5"/>
        <v>⚠️ SIN STOCK</v>
      </c>
      <c r="L65" s="23" t="s">
        <v>197</v>
      </c>
      <c r="M65" s="23"/>
    </row>
    <row r="66" spans="1:13" x14ac:dyDescent="0.35">
      <c r="A66" s="22" t="s">
        <v>172</v>
      </c>
      <c r="B66" s="23" t="s">
        <v>198</v>
      </c>
      <c r="C66" s="23" t="s">
        <v>199</v>
      </c>
      <c r="D66" s="22" t="s">
        <v>175</v>
      </c>
      <c r="E66" s="24">
        <v>0</v>
      </c>
      <c r="F66" s="24">
        <v>1</v>
      </c>
      <c r="G66" s="24">
        <v>10</v>
      </c>
      <c r="H66" s="25">
        <v>0</v>
      </c>
      <c r="I66" s="25" t="str">
        <f t="shared" si="3"/>
        <v/>
      </c>
      <c r="J66" s="26">
        <f t="shared" si="4"/>
        <v>0</v>
      </c>
      <c r="K66" s="22" t="str">
        <f t="shared" si="5"/>
        <v>⚠️ SIN STOCK</v>
      </c>
      <c r="L66" s="23" t="s">
        <v>200</v>
      </c>
      <c r="M66" s="23"/>
    </row>
    <row r="67" spans="1:13" x14ac:dyDescent="0.35">
      <c r="A67" s="22" t="s">
        <v>172</v>
      </c>
      <c r="B67" s="23" t="s">
        <v>201</v>
      </c>
      <c r="C67" s="23" t="s">
        <v>202</v>
      </c>
      <c r="D67" s="22" t="s">
        <v>45</v>
      </c>
      <c r="E67" s="24">
        <v>0</v>
      </c>
      <c r="F67" s="24">
        <v>5</v>
      </c>
      <c r="G67" s="24">
        <v>30</v>
      </c>
      <c r="H67" s="25">
        <v>0</v>
      </c>
      <c r="I67" s="25" t="str">
        <f t="shared" si="3"/>
        <v/>
      </c>
      <c r="J67" s="26">
        <f t="shared" si="4"/>
        <v>0</v>
      </c>
      <c r="K67" s="22" t="str">
        <f t="shared" si="5"/>
        <v>⚠️ SIN STOCK</v>
      </c>
      <c r="L67" s="23" t="s">
        <v>203</v>
      </c>
      <c r="M67" s="23"/>
    </row>
    <row r="68" spans="1:13" x14ac:dyDescent="0.35">
      <c r="A68" s="22" t="s">
        <v>172</v>
      </c>
      <c r="B68" s="23" t="s">
        <v>204</v>
      </c>
      <c r="C68" s="23" t="s">
        <v>205</v>
      </c>
      <c r="D68" s="22" t="s">
        <v>45</v>
      </c>
      <c r="E68" s="24">
        <v>0</v>
      </c>
      <c r="F68" s="24">
        <v>5</v>
      </c>
      <c r="G68" s="24">
        <v>20</v>
      </c>
      <c r="H68" s="25">
        <v>0</v>
      </c>
      <c r="I68" s="25" t="str">
        <f t="shared" ref="I68:I99" si="6">IF(H68&gt;0,E68*H68,"")</f>
        <v/>
      </c>
      <c r="J68" s="26">
        <f t="shared" ref="J68:J99" si="7">IF(G68&gt;0,E68/G68,"")</f>
        <v>0</v>
      </c>
      <c r="K68" s="22" t="str">
        <f t="shared" ref="K68:K99" si="8">IF(E68=0,"⚠️ SIN STOCK",IF(E68&lt;F68,"🔴 REPONER",IF(E68&lt;F68*1.5,"🟡 BAJO","🟢 OK")))</f>
        <v>⚠️ SIN STOCK</v>
      </c>
      <c r="L68" s="23" t="s">
        <v>206</v>
      </c>
      <c r="M68" s="23"/>
    </row>
    <row r="69" spans="1:13" x14ac:dyDescent="0.35">
      <c r="A69" s="22" t="s">
        <v>172</v>
      </c>
      <c r="B69" s="23" t="s">
        <v>207</v>
      </c>
      <c r="C69" s="23" t="s">
        <v>208</v>
      </c>
      <c r="D69" s="22" t="s">
        <v>45</v>
      </c>
      <c r="E69" s="24">
        <v>0</v>
      </c>
      <c r="F69" s="24">
        <v>3</v>
      </c>
      <c r="G69" s="24">
        <v>15</v>
      </c>
      <c r="H69" s="25">
        <v>0</v>
      </c>
      <c r="I69" s="25" t="str">
        <f t="shared" si="6"/>
        <v/>
      </c>
      <c r="J69" s="26">
        <f t="shared" si="7"/>
        <v>0</v>
      </c>
      <c r="K69" s="22" t="str">
        <f t="shared" si="8"/>
        <v>⚠️ SIN STOCK</v>
      </c>
      <c r="L69" s="23" t="s">
        <v>206</v>
      </c>
      <c r="M69" s="23"/>
    </row>
    <row r="70" spans="1:13" x14ac:dyDescent="0.35">
      <c r="A70" s="22" t="s">
        <v>172</v>
      </c>
      <c r="B70" s="23" t="s">
        <v>209</v>
      </c>
      <c r="C70" s="23" t="s">
        <v>210</v>
      </c>
      <c r="D70" s="22" t="s">
        <v>18</v>
      </c>
      <c r="E70" s="24">
        <v>0</v>
      </c>
      <c r="F70" s="24">
        <v>20</v>
      </c>
      <c r="G70" s="24">
        <v>100</v>
      </c>
      <c r="H70" s="25">
        <v>0</v>
      </c>
      <c r="I70" s="25" t="str">
        <f t="shared" si="6"/>
        <v/>
      </c>
      <c r="J70" s="26">
        <f t="shared" si="7"/>
        <v>0</v>
      </c>
      <c r="K70" s="22" t="str">
        <f t="shared" si="8"/>
        <v>⚠️ SIN STOCK</v>
      </c>
      <c r="L70" s="23" t="s">
        <v>211</v>
      </c>
      <c r="M70" s="23"/>
    </row>
    <row r="71" spans="1:13" x14ac:dyDescent="0.35">
      <c r="A71" s="22" t="s">
        <v>172</v>
      </c>
      <c r="B71" s="23" t="s">
        <v>212</v>
      </c>
      <c r="C71" s="23" t="s">
        <v>213</v>
      </c>
      <c r="D71" s="22" t="s">
        <v>175</v>
      </c>
      <c r="E71" s="24">
        <v>0</v>
      </c>
      <c r="F71" s="24">
        <v>1</v>
      </c>
      <c r="G71" s="24">
        <v>10</v>
      </c>
      <c r="H71" s="25">
        <v>0</v>
      </c>
      <c r="I71" s="25" t="str">
        <f t="shared" si="6"/>
        <v/>
      </c>
      <c r="J71" s="26">
        <f t="shared" si="7"/>
        <v>0</v>
      </c>
      <c r="K71" s="22" t="str">
        <f t="shared" si="8"/>
        <v>⚠️ SIN STOCK</v>
      </c>
      <c r="L71" s="23" t="s">
        <v>214</v>
      </c>
      <c r="M71" s="23"/>
    </row>
    <row r="72" spans="1:13" x14ac:dyDescent="0.35">
      <c r="A72" s="27" t="s">
        <v>215</v>
      </c>
      <c r="B72" s="28" t="s">
        <v>216</v>
      </c>
      <c r="C72" s="28" t="s">
        <v>217</v>
      </c>
      <c r="D72" s="27" t="s">
        <v>18</v>
      </c>
      <c r="E72" s="29">
        <v>0</v>
      </c>
      <c r="F72" s="29">
        <v>20</v>
      </c>
      <c r="G72" s="29">
        <v>100</v>
      </c>
      <c r="H72" s="30">
        <v>0</v>
      </c>
      <c r="I72" s="30" t="str">
        <f t="shared" si="6"/>
        <v/>
      </c>
      <c r="J72" s="31">
        <f t="shared" si="7"/>
        <v>0</v>
      </c>
      <c r="K72" s="27" t="str">
        <f t="shared" si="8"/>
        <v>⚠️ SIN STOCK</v>
      </c>
      <c r="L72" s="28" t="s">
        <v>218</v>
      </c>
      <c r="M72" s="28"/>
    </row>
    <row r="73" spans="1:13" x14ac:dyDescent="0.35">
      <c r="A73" s="27" t="s">
        <v>215</v>
      </c>
      <c r="B73" s="28" t="s">
        <v>219</v>
      </c>
      <c r="C73" s="28" t="s">
        <v>220</v>
      </c>
      <c r="D73" s="27" t="s">
        <v>18</v>
      </c>
      <c r="E73" s="29">
        <v>0</v>
      </c>
      <c r="F73" s="29">
        <v>10</v>
      </c>
      <c r="G73" s="29">
        <v>50</v>
      </c>
      <c r="H73" s="30">
        <v>0</v>
      </c>
      <c r="I73" s="30" t="str">
        <f t="shared" si="6"/>
        <v/>
      </c>
      <c r="J73" s="31">
        <f t="shared" si="7"/>
        <v>0</v>
      </c>
      <c r="K73" s="27" t="str">
        <f t="shared" si="8"/>
        <v>⚠️ SIN STOCK</v>
      </c>
      <c r="L73" s="28" t="s">
        <v>221</v>
      </c>
      <c r="M73" s="28"/>
    </row>
    <row r="74" spans="1:13" x14ac:dyDescent="0.35">
      <c r="A74" s="27" t="s">
        <v>215</v>
      </c>
      <c r="B74" s="28" t="s">
        <v>222</v>
      </c>
      <c r="C74" s="28" t="s">
        <v>223</v>
      </c>
      <c r="D74" s="27" t="s">
        <v>18</v>
      </c>
      <c r="E74" s="29">
        <v>0</v>
      </c>
      <c r="F74" s="29">
        <v>10</v>
      </c>
      <c r="G74" s="29">
        <v>50</v>
      </c>
      <c r="H74" s="30">
        <v>0</v>
      </c>
      <c r="I74" s="30" t="str">
        <f t="shared" si="6"/>
        <v/>
      </c>
      <c r="J74" s="31">
        <f t="shared" si="7"/>
        <v>0</v>
      </c>
      <c r="K74" s="27" t="str">
        <f t="shared" si="8"/>
        <v>⚠️ SIN STOCK</v>
      </c>
      <c r="L74" s="28" t="s">
        <v>104</v>
      </c>
      <c r="M74" s="28"/>
    </row>
    <row r="75" spans="1:13" x14ac:dyDescent="0.35">
      <c r="A75" s="27" t="s">
        <v>215</v>
      </c>
      <c r="B75" s="28" t="s">
        <v>224</v>
      </c>
      <c r="C75" s="28" t="s">
        <v>225</v>
      </c>
      <c r="D75" s="27" t="s">
        <v>18</v>
      </c>
      <c r="E75" s="29">
        <v>0</v>
      </c>
      <c r="F75" s="29">
        <v>5</v>
      </c>
      <c r="G75" s="29">
        <v>30</v>
      </c>
      <c r="H75" s="30">
        <v>0</v>
      </c>
      <c r="I75" s="30" t="str">
        <f t="shared" si="6"/>
        <v/>
      </c>
      <c r="J75" s="31">
        <f t="shared" si="7"/>
        <v>0</v>
      </c>
      <c r="K75" s="27" t="str">
        <f t="shared" si="8"/>
        <v>⚠️ SIN STOCK</v>
      </c>
      <c r="L75" s="28" t="s">
        <v>226</v>
      </c>
      <c r="M75" s="28"/>
    </row>
    <row r="76" spans="1:13" x14ac:dyDescent="0.35">
      <c r="A76" s="27" t="s">
        <v>215</v>
      </c>
      <c r="B76" s="28" t="s">
        <v>227</v>
      </c>
      <c r="C76" s="28" t="s">
        <v>228</v>
      </c>
      <c r="D76" s="27" t="s">
        <v>18</v>
      </c>
      <c r="E76" s="29">
        <v>0</v>
      </c>
      <c r="F76" s="29">
        <v>20</v>
      </c>
      <c r="G76" s="29">
        <v>100</v>
      </c>
      <c r="H76" s="30">
        <v>0</v>
      </c>
      <c r="I76" s="30" t="str">
        <f t="shared" si="6"/>
        <v/>
      </c>
      <c r="J76" s="31">
        <f t="shared" si="7"/>
        <v>0</v>
      </c>
      <c r="K76" s="27" t="str">
        <f t="shared" si="8"/>
        <v>⚠️ SIN STOCK</v>
      </c>
      <c r="L76" s="28" t="s">
        <v>229</v>
      </c>
      <c r="M76" s="28"/>
    </row>
    <row r="77" spans="1:13" x14ac:dyDescent="0.35">
      <c r="A77" s="27" t="s">
        <v>215</v>
      </c>
      <c r="B77" s="28" t="s">
        <v>230</v>
      </c>
      <c r="C77" s="28" t="s">
        <v>231</v>
      </c>
      <c r="D77" s="27" t="s">
        <v>18</v>
      </c>
      <c r="E77" s="29">
        <v>0</v>
      </c>
      <c r="F77" s="29">
        <v>5</v>
      </c>
      <c r="G77" s="29">
        <v>30</v>
      </c>
      <c r="H77" s="30">
        <v>0</v>
      </c>
      <c r="I77" s="30" t="str">
        <f t="shared" si="6"/>
        <v/>
      </c>
      <c r="J77" s="31">
        <f t="shared" si="7"/>
        <v>0</v>
      </c>
      <c r="K77" s="27" t="str">
        <f t="shared" si="8"/>
        <v>⚠️ SIN STOCK</v>
      </c>
      <c r="L77" s="28" t="s">
        <v>36</v>
      </c>
      <c r="M77" s="28"/>
    </row>
    <row r="78" spans="1:13" x14ac:dyDescent="0.35">
      <c r="A78" s="27" t="s">
        <v>215</v>
      </c>
      <c r="B78" s="28" t="s">
        <v>232</v>
      </c>
      <c r="C78" s="28" t="s">
        <v>233</v>
      </c>
      <c r="D78" s="27" t="s">
        <v>18</v>
      </c>
      <c r="E78" s="29">
        <v>0</v>
      </c>
      <c r="F78" s="29">
        <v>5</v>
      </c>
      <c r="G78" s="29">
        <v>20</v>
      </c>
      <c r="H78" s="30">
        <v>0</v>
      </c>
      <c r="I78" s="30" t="str">
        <f t="shared" si="6"/>
        <v/>
      </c>
      <c r="J78" s="31">
        <f t="shared" si="7"/>
        <v>0</v>
      </c>
      <c r="K78" s="27" t="str">
        <f t="shared" si="8"/>
        <v>⚠️ SIN STOCK</v>
      </c>
      <c r="L78" s="28" t="s">
        <v>234</v>
      </c>
      <c r="M78" s="28"/>
    </row>
    <row r="79" spans="1:13" x14ac:dyDescent="0.35">
      <c r="A79" s="32" t="s">
        <v>235</v>
      </c>
      <c r="B79" s="33" t="s">
        <v>50</v>
      </c>
      <c r="C79" s="33" t="s">
        <v>236</v>
      </c>
      <c r="D79" s="32" t="s">
        <v>45</v>
      </c>
      <c r="E79" s="34">
        <v>0</v>
      </c>
      <c r="F79" s="34">
        <v>500</v>
      </c>
      <c r="G79" s="34">
        <v>5000</v>
      </c>
      <c r="H79" s="35">
        <v>0</v>
      </c>
      <c r="I79" s="35" t="str">
        <f t="shared" si="6"/>
        <v/>
      </c>
      <c r="J79" s="36">
        <f t="shared" si="7"/>
        <v>0</v>
      </c>
      <c r="K79" s="32" t="str">
        <f t="shared" si="8"/>
        <v>⚠️ SIN STOCK</v>
      </c>
      <c r="L79" s="33" t="s">
        <v>237</v>
      </c>
      <c r="M79" s="33"/>
    </row>
    <row r="80" spans="1:13" x14ac:dyDescent="0.35">
      <c r="A80" s="32" t="s">
        <v>235</v>
      </c>
      <c r="B80" s="33" t="s">
        <v>50</v>
      </c>
      <c r="C80" s="33" t="s">
        <v>238</v>
      </c>
      <c r="D80" s="32" t="s">
        <v>45</v>
      </c>
      <c r="E80" s="34">
        <v>0</v>
      </c>
      <c r="F80" s="34">
        <v>500</v>
      </c>
      <c r="G80" s="34">
        <v>5000</v>
      </c>
      <c r="H80" s="35">
        <v>0</v>
      </c>
      <c r="I80" s="35" t="str">
        <f t="shared" si="6"/>
        <v/>
      </c>
      <c r="J80" s="36">
        <f t="shared" si="7"/>
        <v>0</v>
      </c>
      <c r="K80" s="32" t="str">
        <f t="shared" si="8"/>
        <v>⚠️ SIN STOCK</v>
      </c>
      <c r="L80" s="33" t="s">
        <v>239</v>
      </c>
      <c r="M80" s="33"/>
    </row>
    <row r="81" spans="1:13" x14ac:dyDescent="0.35">
      <c r="A81" s="32" t="s">
        <v>235</v>
      </c>
      <c r="B81" s="33" t="s">
        <v>50</v>
      </c>
      <c r="C81" s="33" t="s">
        <v>240</v>
      </c>
      <c r="D81" s="32" t="s">
        <v>45</v>
      </c>
      <c r="E81" s="34">
        <v>0</v>
      </c>
      <c r="F81" s="34">
        <v>500</v>
      </c>
      <c r="G81" s="34">
        <v>5000</v>
      </c>
      <c r="H81" s="35">
        <v>0</v>
      </c>
      <c r="I81" s="35" t="str">
        <f t="shared" si="6"/>
        <v/>
      </c>
      <c r="J81" s="36">
        <f t="shared" si="7"/>
        <v>0</v>
      </c>
      <c r="K81" s="32" t="str">
        <f t="shared" si="8"/>
        <v>⚠️ SIN STOCK</v>
      </c>
      <c r="L81" s="33" t="s">
        <v>241</v>
      </c>
      <c r="M81" s="33"/>
    </row>
    <row r="82" spans="1:13" x14ac:dyDescent="0.35">
      <c r="A82" s="32" t="s">
        <v>235</v>
      </c>
      <c r="B82" s="33" t="s">
        <v>68</v>
      </c>
      <c r="C82" s="33" t="s">
        <v>242</v>
      </c>
      <c r="D82" s="32" t="s">
        <v>45</v>
      </c>
      <c r="E82" s="34">
        <v>0</v>
      </c>
      <c r="F82" s="34">
        <v>100</v>
      </c>
      <c r="G82" s="34">
        <v>1000</v>
      </c>
      <c r="H82" s="35">
        <v>0</v>
      </c>
      <c r="I82" s="35" t="str">
        <f t="shared" si="6"/>
        <v/>
      </c>
      <c r="J82" s="36">
        <f t="shared" si="7"/>
        <v>0</v>
      </c>
      <c r="K82" s="32" t="str">
        <f t="shared" si="8"/>
        <v>⚠️ SIN STOCK</v>
      </c>
      <c r="L82" s="33" t="s">
        <v>243</v>
      </c>
      <c r="M82" s="33"/>
    </row>
    <row r="83" spans="1:13" x14ac:dyDescent="0.35">
      <c r="A83" s="32" t="s">
        <v>235</v>
      </c>
      <c r="B83" s="33" t="s">
        <v>68</v>
      </c>
      <c r="C83" s="33" t="s">
        <v>244</v>
      </c>
      <c r="D83" s="32" t="s">
        <v>45</v>
      </c>
      <c r="E83" s="34">
        <v>0</v>
      </c>
      <c r="F83" s="34">
        <v>100</v>
      </c>
      <c r="G83" s="34">
        <v>1000</v>
      </c>
      <c r="H83" s="35">
        <v>0</v>
      </c>
      <c r="I83" s="35" t="str">
        <f t="shared" si="6"/>
        <v/>
      </c>
      <c r="J83" s="36">
        <f t="shared" si="7"/>
        <v>0</v>
      </c>
      <c r="K83" s="32" t="str">
        <f t="shared" si="8"/>
        <v>⚠️ SIN STOCK</v>
      </c>
      <c r="L83" s="33" t="s">
        <v>245</v>
      </c>
      <c r="M83" s="33"/>
    </row>
    <row r="84" spans="1:13" x14ac:dyDescent="0.35">
      <c r="A84" s="32" t="s">
        <v>235</v>
      </c>
      <c r="B84" s="33" t="s">
        <v>246</v>
      </c>
      <c r="C84" s="33" t="s">
        <v>247</v>
      </c>
      <c r="D84" s="32" t="s">
        <v>45</v>
      </c>
      <c r="E84" s="34">
        <v>0</v>
      </c>
      <c r="F84" s="34">
        <v>50</v>
      </c>
      <c r="G84" s="34">
        <v>500</v>
      </c>
      <c r="H84" s="35">
        <v>0</v>
      </c>
      <c r="I84" s="35" t="str">
        <f t="shared" si="6"/>
        <v/>
      </c>
      <c r="J84" s="36">
        <f t="shared" si="7"/>
        <v>0</v>
      </c>
      <c r="K84" s="32" t="str">
        <f t="shared" si="8"/>
        <v>⚠️ SIN STOCK</v>
      </c>
      <c r="L84" s="33" t="s">
        <v>248</v>
      </c>
      <c r="M84" s="33"/>
    </row>
    <row r="85" spans="1:13" x14ac:dyDescent="0.35">
      <c r="A85" s="32" t="s">
        <v>235</v>
      </c>
      <c r="B85" s="33" t="s">
        <v>249</v>
      </c>
      <c r="C85" s="33" t="s">
        <v>250</v>
      </c>
      <c r="D85" s="32" t="s">
        <v>45</v>
      </c>
      <c r="E85" s="34">
        <v>0</v>
      </c>
      <c r="F85" s="34">
        <v>500</v>
      </c>
      <c r="G85" s="34">
        <v>5000</v>
      </c>
      <c r="H85" s="35">
        <v>0</v>
      </c>
      <c r="I85" s="35" t="str">
        <f t="shared" si="6"/>
        <v/>
      </c>
      <c r="J85" s="36">
        <f t="shared" si="7"/>
        <v>0</v>
      </c>
      <c r="K85" s="32" t="str">
        <f t="shared" si="8"/>
        <v>⚠️ SIN STOCK</v>
      </c>
      <c r="L85" s="33" t="s">
        <v>251</v>
      </c>
      <c r="M85" s="33"/>
    </row>
    <row r="86" spans="1:13" x14ac:dyDescent="0.35">
      <c r="A86" s="32" t="s">
        <v>235</v>
      </c>
      <c r="B86" s="33" t="s">
        <v>249</v>
      </c>
      <c r="C86" s="33" t="s">
        <v>252</v>
      </c>
      <c r="D86" s="32" t="s">
        <v>45</v>
      </c>
      <c r="E86" s="34">
        <v>0</v>
      </c>
      <c r="F86" s="34">
        <v>500</v>
      </c>
      <c r="G86" s="34">
        <v>5000</v>
      </c>
      <c r="H86" s="35">
        <v>0</v>
      </c>
      <c r="I86" s="35" t="str">
        <f t="shared" si="6"/>
        <v/>
      </c>
      <c r="J86" s="36">
        <f t="shared" si="7"/>
        <v>0</v>
      </c>
      <c r="K86" s="32" t="str">
        <f t="shared" si="8"/>
        <v>⚠️ SIN STOCK</v>
      </c>
      <c r="L86" s="33" t="s">
        <v>253</v>
      </c>
      <c r="M86" s="33"/>
    </row>
    <row r="87" spans="1:13" x14ac:dyDescent="0.35">
      <c r="A87" s="32" t="s">
        <v>235</v>
      </c>
      <c r="B87" s="33" t="s">
        <v>254</v>
      </c>
      <c r="C87" s="33" t="s">
        <v>255</v>
      </c>
      <c r="D87" s="32" t="s">
        <v>45</v>
      </c>
      <c r="E87" s="34">
        <v>0</v>
      </c>
      <c r="F87" s="34">
        <v>50</v>
      </c>
      <c r="G87" s="34">
        <v>300</v>
      </c>
      <c r="H87" s="35">
        <v>0</v>
      </c>
      <c r="I87" s="35" t="str">
        <f t="shared" si="6"/>
        <v/>
      </c>
      <c r="J87" s="36">
        <f t="shared" si="7"/>
        <v>0</v>
      </c>
      <c r="K87" s="32" t="str">
        <f t="shared" si="8"/>
        <v>⚠️ SIN STOCK</v>
      </c>
      <c r="L87" s="33" t="s">
        <v>256</v>
      </c>
      <c r="M87" s="33"/>
    </row>
    <row r="88" spans="1:13" x14ac:dyDescent="0.35">
      <c r="A88" s="32" t="s">
        <v>235</v>
      </c>
      <c r="B88" s="33" t="s">
        <v>257</v>
      </c>
      <c r="C88" s="33" t="s">
        <v>258</v>
      </c>
      <c r="D88" s="32" t="s">
        <v>45</v>
      </c>
      <c r="E88" s="34">
        <v>0</v>
      </c>
      <c r="F88" s="34">
        <v>50</v>
      </c>
      <c r="G88" s="34">
        <v>300</v>
      </c>
      <c r="H88" s="35">
        <v>0</v>
      </c>
      <c r="I88" s="35" t="str">
        <f t="shared" si="6"/>
        <v/>
      </c>
      <c r="J88" s="36">
        <f t="shared" si="7"/>
        <v>0</v>
      </c>
      <c r="K88" s="32" t="str">
        <f t="shared" si="8"/>
        <v>⚠️ SIN STOCK</v>
      </c>
      <c r="L88" s="33" t="s">
        <v>259</v>
      </c>
      <c r="M88" s="33"/>
    </row>
    <row r="89" spans="1:13" x14ac:dyDescent="0.35">
      <c r="A89" s="32" t="s">
        <v>235</v>
      </c>
      <c r="B89" s="33" t="s">
        <v>260</v>
      </c>
      <c r="C89" s="33" t="s">
        <v>261</v>
      </c>
      <c r="D89" s="32" t="s">
        <v>45</v>
      </c>
      <c r="E89" s="34">
        <v>0</v>
      </c>
      <c r="F89" s="34">
        <v>20</v>
      </c>
      <c r="G89" s="34">
        <v>200</v>
      </c>
      <c r="H89" s="35">
        <v>0</v>
      </c>
      <c r="I89" s="35" t="str">
        <f t="shared" si="6"/>
        <v/>
      </c>
      <c r="J89" s="36">
        <f t="shared" si="7"/>
        <v>0</v>
      </c>
      <c r="K89" s="32" t="str">
        <f t="shared" si="8"/>
        <v>⚠️ SIN STOCK</v>
      </c>
      <c r="L89" s="33" t="s">
        <v>262</v>
      </c>
      <c r="M89" s="33"/>
    </row>
    <row r="90" spans="1:13" x14ac:dyDescent="0.35">
      <c r="A90" s="32" t="s">
        <v>235</v>
      </c>
      <c r="B90" s="33" t="s">
        <v>263</v>
      </c>
      <c r="C90" s="33" t="s">
        <v>264</v>
      </c>
      <c r="D90" s="32" t="s">
        <v>45</v>
      </c>
      <c r="E90" s="34">
        <v>0</v>
      </c>
      <c r="F90" s="34">
        <v>20</v>
      </c>
      <c r="G90" s="34">
        <v>150</v>
      </c>
      <c r="H90" s="35">
        <v>0</v>
      </c>
      <c r="I90" s="35" t="str">
        <f t="shared" si="6"/>
        <v/>
      </c>
      <c r="J90" s="36">
        <f t="shared" si="7"/>
        <v>0</v>
      </c>
      <c r="K90" s="32" t="str">
        <f t="shared" si="8"/>
        <v>⚠️ SIN STOCK</v>
      </c>
      <c r="L90" s="33" t="s">
        <v>265</v>
      </c>
      <c r="M90" s="33"/>
    </row>
    <row r="91" spans="1:13" x14ac:dyDescent="0.35">
      <c r="A91" s="32" t="s">
        <v>235</v>
      </c>
      <c r="B91" s="33" t="s">
        <v>266</v>
      </c>
      <c r="C91" s="33" t="s">
        <v>267</v>
      </c>
      <c r="D91" s="32" t="s">
        <v>45</v>
      </c>
      <c r="E91" s="34">
        <v>0</v>
      </c>
      <c r="F91" s="34">
        <v>20</v>
      </c>
      <c r="G91" s="34">
        <v>200</v>
      </c>
      <c r="H91" s="35">
        <v>0</v>
      </c>
      <c r="I91" s="35" t="str">
        <f t="shared" si="6"/>
        <v/>
      </c>
      <c r="J91" s="36">
        <f t="shared" si="7"/>
        <v>0</v>
      </c>
      <c r="K91" s="32" t="str">
        <f t="shared" si="8"/>
        <v>⚠️ SIN STOCK</v>
      </c>
      <c r="L91" s="33" t="s">
        <v>268</v>
      </c>
      <c r="M91" s="33"/>
    </row>
    <row r="92" spans="1:13" x14ac:dyDescent="0.35">
      <c r="A92" s="32" t="s">
        <v>235</v>
      </c>
      <c r="B92" s="33" t="s">
        <v>269</v>
      </c>
      <c r="C92" s="33" t="s">
        <v>270</v>
      </c>
      <c r="D92" s="32" t="s">
        <v>45</v>
      </c>
      <c r="E92" s="34">
        <v>0</v>
      </c>
      <c r="F92" s="34">
        <v>10</v>
      </c>
      <c r="G92" s="34">
        <v>100</v>
      </c>
      <c r="H92" s="35">
        <v>0</v>
      </c>
      <c r="I92" s="35" t="str">
        <f t="shared" si="6"/>
        <v/>
      </c>
      <c r="J92" s="36">
        <f t="shared" si="7"/>
        <v>0</v>
      </c>
      <c r="K92" s="32" t="str">
        <f t="shared" si="8"/>
        <v>⚠️ SIN STOCK</v>
      </c>
      <c r="L92" s="33" t="s">
        <v>268</v>
      </c>
      <c r="M92" s="33"/>
    </row>
    <row r="93" spans="1:13" x14ac:dyDescent="0.35">
      <c r="A93" s="32" t="s">
        <v>235</v>
      </c>
      <c r="B93" s="33" t="s">
        <v>271</v>
      </c>
      <c r="C93" s="33" t="s">
        <v>272</v>
      </c>
      <c r="D93" s="32" t="s">
        <v>45</v>
      </c>
      <c r="E93" s="34">
        <v>0</v>
      </c>
      <c r="F93" s="34">
        <v>100</v>
      </c>
      <c r="G93" s="34">
        <v>500</v>
      </c>
      <c r="H93" s="35">
        <v>0</v>
      </c>
      <c r="I93" s="35" t="str">
        <f t="shared" si="6"/>
        <v/>
      </c>
      <c r="J93" s="36">
        <f t="shared" si="7"/>
        <v>0</v>
      </c>
      <c r="K93" s="32" t="str">
        <f t="shared" si="8"/>
        <v>⚠️ SIN STOCK</v>
      </c>
      <c r="L93" s="33" t="s">
        <v>273</v>
      </c>
      <c r="M93" s="33"/>
    </row>
    <row r="94" spans="1:13" x14ac:dyDescent="0.35">
      <c r="A94" s="32" t="s">
        <v>235</v>
      </c>
      <c r="B94" s="33" t="s">
        <v>274</v>
      </c>
      <c r="C94" s="33" t="s">
        <v>275</v>
      </c>
      <c r="D94" s="32" t="s">
        <v>45</v>
      </c>
      <c r="E94" s="34">
        <v>0</v>
      </c>
      <c r="F94" s="34">
        <v>20</v>
      </c>
      <c r="G94" s="34">
        <v>150</v>
      </c>
      <c r="H94" s="35">
        <v>0</v>
      </c>
      <c r="I94" s="35" t="str">
        <f t="shared" si="6"/>
        <v/>
      </c>
      <c r="J94" s="36">
        <f t="shared" si="7"/>
        <v>0</v>
      </c>
      <c r="K94" s="32" t="str">
        <f t="shared" si="8"/>
        <v>⚠️ SIN STOCK</v>
      </c>
      <c r="L94" s="33" t="s">
        <v>276</v>
      </c>
      <c r="M94" s="33" t="s">
        <v>277</v>
      </c>
    </row>
    <row r="95" spans="1:13" x14ac:dyDescent="0.35">
      <c r="A95" s="32" t="s">
        <v>235</v>
      </c>
      <c r="B95" s="33" t="s">
        <v>278</v>
      </c>
      <c r="C95" s="33" t="s">
        <v>279</v>
      </c>
      <c r="D95" s="32" t="s">
        <v>45</v>
      </c>
      <c r="E95" s="34">
        <v>0</v>
      </c>
      <c r="F95" s="34">
        <v>10</v>
      </c>
      <c r="G95" s="34">
        <v>80</v>
      </c>
      <c r="H95" s="35">
        <v>0</v>
      </c>
      <c r="I95" s="35" t="str">
        <f t="shared" si="6"/>
        <v/>
      </c>
      <c r="J95" s="36">
        <f t="shared" si="7"/>
        <v>0</v>
      </c>
      <c r="K95" s="32" t="str">
        <f t="shared" si="8"/>
        <v>⚠️ SIN STOCK</v>
      </c>
      <c r="L95" s="33" t="s">
        <v>268</v>
      </c>
      <c r="M95" s="33"/>
    </row>
    <row r="96" spans="1:13" x14ac:dyDescent="0.35">
      <c r="A96" s="37" t="s">
        <v>280</v>
      </c>
      <c r="B96" s="38" t="s">
        <v>281</v>
      </c>
      <c r="C96" s="38" t="s">
        <v>282</v>
      </c>
      <c r="D96" s="37" t="s">
        <v>18</v>
      </c>
      <c r="E96" s="39">
        <v>0</v>
      </c>
      <c r="F96" s="39">
        <v>5</v>
      </c>
      <c r="G96" s="39">
        <v>20</v>
      </c>
      <c r="H96" s="40">
        <v>0</v>
      </c>
      <c r="I96" s="40" t="str">
        <f t="shared" si="6"/>
        <v/>
      </c>
      <c r="J96" s="41">
        <f t="shared" si="7"/>
        <v>0</v>
      </c>
      <c r="K96" s="37" t="str">
        <f t="shared" si="8"/>
        <v>⚠️ SIN STOCK</v>
      </c>
      <c r="L96" s="38" t="s">
        <v>283</v>
      </c>
      <c r="M96" s="38"/>
    </row>
    <row r="97" spans="1:13" x14ac:dyDescent="0.35">
      <c r="A97" s="37" t="s">
        <v>280</v>
      </c>
      <c r="B97" s="38" t="s">
        <v>284</v>
      </c>
      <c r="C97" s="38" t="s">
        <v>285</v>
      </c>
      <c r="D97" s="37" t="s">
        <v>18</v>
      </c>
      <c r="E97" s="39">
        <v>0</v>
      </c>
      <c r="F97" s="39">
        <v>2</v>
      </c>
      <c r="G97" s="39">
        <v>10</v>
      </c>
      <c r="H97" s="40">
        <v>0</v>
      </c>
      <c r="I97" s="40" t="str">
        <f t="shared" si="6"/>
        <v/>
      </c>
      <c r="J97" s="41">
        <f t="shared" si="7"/>
        <v>0</v>
      </c>
      <c r="K97" s="37" t="str">
        <f t="shared" si="8"/>
        <v>⚠️ SIN STOCK</v>
      </c>
      <c r="L97" s="38" t="s">
        <v>85</v>
      </c>
      <c r="M97" s="38"/>
    </row>
    <row r="98" spans="1:13" x14ac:dyDescent="0.35">
      <c r="A98" s="37" t="s">
        <v>280</v>
      </c>
      <c r="B98" s="38" t="s">
        <v>286</v>
      </c>
      <c r="C98" s="38" t="s">
        <v>287</v>
      </c>
      <c r="D98" s="37" t="s">
        <v>18</v>
      </c>
      <c r="E98" s="39">
        <v>0</v>
      </c>
      <c r="F98" s="39">
        <v>2</v>
      </c>
      <c r="G98" s="39">
        <v>10</v>
      </c>
      <c r="H98" s="40">
        <v>0</v>
      </c>
      <c r="I98" s="40" t="str">
        <f t="shared" si="6"/>
        <v/>
      </c>
      <c r="J98" s="41">
        <f t="shared" si="7"/>
        <v>0</v>
      </c>
      <c r="K98" s="37" t="str">
        <f t="shared" si="8"/>
        <v>⚠️ SIN STOCK</v>
      </c>
      <c r="L98" s="38" t="s">
        <v>288</v>
      </c>
      <c r="M98" s="38"/>
    </row>
    <row r="99" spans="1:13" x14ac:dyDescent="0.35">
      <c r="A99" s="37" t="s">
        <v>280</v>
      </c>
      <c r="B99" s="38" t="s">
        <v>289</v>
      </c>
      <c r="C99" s="38" t="s">
        <v>290</v>
      </c>
      <c r="D99" s="37" t="s">
        <v>18</v>
      </c>
      <c r="E99" s="39">
        <v>0</v>
      </c>
      <c r="F99" s="39">
        <v>2</v>
      </c>
      <c r="G99" s="39">
        <v>10</v>
      </c>
      <c r="H99" s="40">
        <v>0</v>
      </c>
      <c r="I99" s="40" t="str">
        <f t="shared" si="6"/>
        <v/>
      </c>
      <c r="J99" s="41">
        <f t="shared" si="7"/>
        <v>0</v>
      </c>
      <c r="K99" s="37" t="str">
        <f t="shared" si="8"/>
        <v>⚠️ SIN STOCK</v>
      </c>
      <c r="L99" s="38" t="s">
        <v>138</v>
      </c>
      <c r="M99" s="38"/>
    </row>
    <row r="100" spans="1:13" x14ac:dyDescent="0.35">
      <c r="A100" s="42" t="s">
        <v>291</v>
      </c>
      <c r="B100" s="43" t="s">
        <v>292</v>
      </c>
      <c r="C100" s="43" t="s">
        <v>293</v>
      </c>
      <c r="D100" s="42" t="s">
        <v>18</v>
      </c>
      <c r="E100" s="44">
        <v>0</v>
      </c>
      <c r="F100" s="44">
        <v>10</v>
      </c>
      <c r="G100" s="44">
        <v>50</v>
      </c>
      <c r="H100" s="45">
        <v>0</v>
      </c>
      <c r="I100" s="45" t="str">
        <f t="shared" ref="I100:I131" si="9">IF(H100&gt;0,E100*H100,"")</f>
        <v/>
      </c>
      <c r="J100" s="46">
        <f t="shared" ref="J100:J112" si="10">IF(G100&gt;0,E100/G100,"")</f>
        <v>0</v>
      </c>
      <c r="K100" s="42" t="str">
        <f t="shared" ref="K100:K112" si="11">IF(E100=0,"⚠️ SIN STOCK",IF(E100&lt;F100,"🔴 REPONER",IF(E100&lt;F100*1.5,"🟡 BAJO","🟢 OK")))</f>
        <v>⚠️ SIN STOCK</v>
      </c>
      <c r="L100" s="43" t="s">
        <v>294</v>
      </c>
      <c r="M100" s="43"/>
    </row>
    <row r="101" spans="1:13" x14ac:dyDescent="0.35">
      <c r="A101" s="42" t="s">
        <v>291</v>
      </c>
      <c r="B101" s="43" t="s">
        <v>295</v>
      </c>
      <c r="C101" s="43" t="s">
        <v>296</v>
      </c>
      <c r="D101" s="42" t="s">
        <v>18</v>
      </c>
      <c r="E101" s="44">
        <v>0</v>
      </c>
      <c r="F101" s="44">
        <v>5</v>
      </c>
      <c r="G101" s="44">
        <v>30</v>
      </c>
      <c r="H101" s="45">
        <v>0</v>
      </c>
      <c r="I101" s="45" t="str">
        <f t="shared" si="9"/>
        <v/>
      </c>
      <c r="J101" s="46">
        <f t="shared" si="10"/>
        <v>0</v>
      </c>
      <c r="K101" s="42" t="str">
        <f t="shared" si="11"/>
        <v>⚠️ SIN STOCK</v>
      </c>
      <c r="L101" s="43" t="s">
        <v>297</v>
      </c>
      <c r="M101" s="43"/>
    </row>
    <row r="102" spans="1:13" x14ac:dyDescent="0.35">
      <c r="A102" s="42" t="s">
        <v>291</v>
      </c>
      <c r="B102" s="43" t="s">
        <v>298</v>
      </c>
      <c r="C102" s="43" t="s">
        <v>299</v>
      </c>
      <c r="D102" s="42" t="s">
        <v>18</v>
      </c>
      <c r="E102" s="44">
        <v>0</v>
      </c>
      <c r="F102" s="44">
        <v>5</v>
      </c>
      <c r="G102" s="44">
        <v>20</v>
      </c>
      <c r="H102" s="45">
        <v>0</v>
      </c>
      <c r="I102" s="45" t="str">
        <f t="shared" si="9"/>
        <v/>
      </c>
      <c r="J102" s="46">
        <f t="shared" si="10"/>
        <v>0</v>
      </c>
      <c r="K102" s="42" t="str">
        <f t="shared" si="11"/>
        <v>⚠️ SIN STOCK</v>
      </c>
      <c r="L102" s="43" t="s">
        <v>300</v>
      </c>
      <c r="M102" s="43"/>
    </row>
    <row r="103" spans="1:13" x14ac:dyDescent="0.35">
      <c r="A103" s="42" t="s">
        <v>291</v>
      </c>
      <c r="B103" s="43" t="s">
        <v>301</v>
      </c>
      <c r="C103" s="43" t="s">
        <v>302</v>
      </c>
      <c r="D103" s="42" t="s">
        <v>18</v>
      </c>
      <c r="E103" s="44">
        <v>0</v>
      </c>
      <c r="F103" s="44">
        <v>5</v>
      </c>
      <c r="G103" s="44">
        <v>20</v>
      </c>
      <c r="H103" s="45">
        <v>0</v>
      </c>
      <c r="I103" s="45" t="str">
        <f t="shared" si="9"/>
        <v/>
      </c>
      <c r="J103" s="46">
        <f t="shared" si="10"/>
        <v>0</v>
      </c>
      <c r="K103" s="42" t="str">
        <f t="shared" si="11"/>
        <v>⚠️ SIN STOCK</v>
      </c>
      <c r="L103" s="43" t="s">
        <v>303</v>
      </c>
      <c r="M103" s="43"/>
    </row>
    <row r="104" spans="1:13" x14ac:dyDescent="0.35">
      <c r="A104" s="42" t="s">
        <v>291</v>
      </c>
      <c r="B104" s="43" t="s">
        <v>304</v>
      </c>
      <c r="C104" s="43" t="s">
        <v>305</v>
      </c>
      <c r="D104" s="42" t="s">
        <v>45</v>
      </c>
      <c r="E104" s="44">
        <v>0</v>
      </c>
      <c r="F104" s="44">
        <v>1</v>
      </c>
      <c r="G104" s="44">
        <v>5</v>
      </c>
      <c r="H104" s="45">
        <v>0</v>
      </c>
      <c r="I104" s="45" t="str">
        <f t="shared" si="9"/>
        <v/>
      </c>
      <c r="J104" s="46">
        <f t="shared" si="10"/>
        <v>0</v>
      </c>
      <c r="K104" s="42" t="str">
        <f t="shared" si="11"/>
        <v>⚠️ SIN STOCK</v>
      </c>
      <c r="L104" s="43" t="s">
        <v>306</v>
      </c>
      <c r="M104" s="43" t="s">
        <v>162</v>
      </c>
    </row>
    <row r="105" spans="1:13" x14ac:dyDescent="0.35">
      <c r="A105" s="47" t="s">
        <v>307</v>
      </c>
      <c r="B105" s="48" t="s">
        <v>308</v>
      </c>
      <c r="C105" s="48" t="s">
        <v>309</v>
      </c>
      <c r="D105" s="47" t="s">
        <v>18</v>
      </c>
      <c r="E105" s="49">
        <v>0</v>
      </c>
      <c r="F105" s="49">
        <v>50</v>
      </c>
      <c r="G105" s="49">
        <v>200</v>
      </c>
      <c r="H105" s="50">
        <v>0</v>
      </c>
      <c r="I105" s="50" t="str">
        <f t="shared" si="9"/>
        <v/>
      </c>
      <c r="J105" s="51">
        <f t="shared" si="10"/>
        <v>0</v>
      </c>
      <c r="K105" s="47" t="str">
        <f t="shared" si="11"/>
        <v>⚠️ SIN STOCK</v>
      </c>
      <c r="L105" s="48" t="s">
        <v>310</v>
      </c>
      <c r="M105" s="48"/>
    </row>
    <row r="106" spans="1:13" x14ac:dyDescent="0.35">
      <c r="A106" s="47" t="s">
        <v>307</v>
      </c>
      <c r="B106" s="48" t="s">
        <v>311</v>
      </c>
      <c r="C106" s="48" t="s">
        <v>312</v>
      </c>
      <c r="D106" s="47" t="s">
        <v>45</v>
      </c>
      <c r="E106" s="49">
        <v>0</v>
      </c>
      <c r="F106" s="49">
        <v>5</v>
      </c>
      <c r="G106" s="49">
        <v>20</v>
      </c>
      <c r="H106" s="50">
        <v>0</v>
      </c>
      <c r="I106" s="50" t="str">
        <f t="shared" si="9"/>
        <v/>
      </c>
      <c r="J106" s="51">
        <f t="shared" si="10"/>
        <v>0</v>
      </c>
      <c r="K106" s="47" t="str">
        <f t="shared" si="11"/>
        <v>⚠️ SIN STOCK</v>
      </c>
      <c r="L106" s="48" t="s">
        <v>313</v>
      </c>
      <c r="M106" s="48"/>
    </row>
    <row r="107" spans="1:13" x14ac:dyDescent="0.35">
      <c r="A107" s="47" t="s">
        <v>307</v>
      </c>
      <c r="B107" s="48" t="s">
        <v>314</v>
      </c>
      <c r="C107" s="48" t="s">
        <v>315</v>
      </c>
      <c r="D107" s="47" t="s">
        <v>316</v>
      </c>
      <c r="E107" s="49">
        <v>0</v>
      </c>
      <c r="F107" s="49">
        <v>5</v>
      </c>
      <c r="G107" s="49">
        <v>20</v>
      </c>
      <c r="H107" s="50">
        <v>0</v>
      </c>
      <c r="I107" s="50" t="str">
        <f t="shared" si="9"/>
        <v/>
      </c>
      <c r="J107" s="51">
        <f t="shared" si="10"/>
        <v>0</v>
      </c>
      <c r="K107" s="47" t="str">
        <f t="shared" si="11"/>
        <v>⚠️ SIN STOCK</v>
      </c>
      <c r="L107" s="48" t="s">
        <v>317</v>
      </c>
      <c r="M107" s="48"/>
    </row>
    <row r="108" spans="1:13" x14ac:dyDescent="0.35">
      <c r="A108" s="47" t="s">
        <v>307</v>
      </c>
      <c r="B108" s="48" t="s">
        <v>318</v>
      </c>
      <c r="C108" s="48" t="s">
        <v>319</v>
      </c>
      <c r="D108" s="47" t="s">
        <v>316</v>
      </c>
      <c r="E108" s="49">
        <v>0</v>
      </c>
      <c r="F108" s="49">
        <v>20</v>
      </c>
      <c r="G108" s="49">
        <v>100</v>
      </c>
      <c r="H108" s="50">
        <v>0</v>
      </c>
      <c r="I108" s="50" t="str">
        <f t="shared" si="9"/>
        <v/>
      </c>
      <c r="J108" s="51">
        <f t="shared" si="10"/>
        <v>0</v>
      </c>
      <c r="K108" s="47" t="str">
        <f t="shared" si="11"/>
        <v>⚠️ SIN STOCK</v>
      </c>
      <c r="L108" s="48" t="s">
        <v>320</v>
      </c>
      <c r="M108" s="48"/>
    </row>
    <row r="109" spans="1:13" x14ac:dyDescent="0.35">
      <c r="A109" s="47" t="s">
        <v>307</v>
      </c>
      <c r="B109" s="48" t="s">
        <v>321</v>
      </c>
      <c r="C109" s="48" t="s">
        <v>322</v>
      </c>
      <c r="D109" s="47" t="s">
        <v>323</v>
      </c>
      <c r="E109" s="49">
        <v>0</v>
      </c>
      <c r="F109" s="49">
        <v>10</v>
      </c>
      <c r="G109" s="49">
        <v>50</v>
      </c>
      <c r="H109" s="50">
        <v>0</v>
      </c>
      <c r="I109" s="50" t="str">
        <f t="shared" si="9"/>
        <v/>
      </c>
      <c r="J109" s="51">
        <f t="shared" si="10"/>
        <v>0</v>
      </c>
      <c r="K109" s="47" t="str">
        <f t="shared" si="11"/>
        <v>⚠️ SIN STOCK</v>
      </c>
      <c r="L109" s="48" t="s">
        <v>324</v>
      </c>
      <c r="M109" s="48"/>
    </row>
    <row r="110" spans="1:13" x14ac:dyDescent="0.35">
      <c r="A110" s="47" t="s">
        <v>307</v>
      </c>
      <c r="B110" s="48" t="s">
        <v>325</v>
      </c>
      <c r="C110" s="48" t="s">
        <v>326</v>
      </c>
      <c r="D110" s="47" t="s">
        <v>316</v>
      </c>
      <c r="E110" s="49">
        <v>0</v>
      </c>
      <c r="F110" s="49">
        <v>10</v>
      </c>
      <c r="G110" s="49">
        <v>30</v>
      </c>
      <c r="H110" s="50">
        <v>0</v>
      </c>
      <c r="I110" s="50" t="str">
        <f t="shared" si="9"/>
        <v/>
      </c>
      <c r="J110" s="51">
        <f t="shared" si="10"/>
        <v>0</v>
      </c>
      <c r="K110" s="47" t="str">
        <f t="shared" si="11"/>
        <v>⚠️ SIN STOCK</v>
      </c>
      <c r="L110" s="48" t="s">
        <v>327</v>
      </c>
      <c r="M110" s="48"/>
    </row>
    <row r="111" spans="1:13" x14ac:dyDescent="0.35">
      <c r="A111" s="47" t="s">
        <v>307</v>
      </c>
      <c r="B111" s="48" t="s">
        <v>328</v>
      </c>
      <c r="C111" s="48" t="s">
        <v>329</v>
      </c>
      <c r="D111" s="47" t="s">
        <v>330</v>
      </c>
      <c r="E111" s="49">
        <v>0</v>
      </c>
      <c r="F111" s="49">
        <v>10</v>
      </c>
      <c r="G111" s="49">
        <v>30</v>
      </c>
      <c r="H111" s="50">
        <v>0</v>
      </c>
      <c r="I111" s="50" t="str">
        <f t="shared" si="9"/>
        <v/>
      </c>
      <c r="J111" s="51">
        <f t="shared" si="10"/>
        <v>0</v>
      </c>
      <c r="K111" s="47" t="str">
        <f t="shared" si="11"/>
        <v>⚠️ SIN STOCK</v>
      </c>
      <c r="L111" s="48" t="s">
        <v>331</v>
      </c>
      <c r="M111" s="48"/>
    </row>
    <row r="112" spans="1:13" x14ac:dyDescent="0.35">
      <c r="A112" s="47" t="s">
        <v>307</v>
      </c>
      <c r="B112" s="48" t="s">
        <v>332</v>
      </c>
      <c r="C112" s="48" t="s">
        <v>333</v>
      </c>
      <c r="D112" s="47" t="s">
        <v>316</v>
      </c>
      <c r="E112" s="49">
        <v>0</v>
      </c>
      <c r="F112" s="49">
        <v>2</v>
      </c>
      <c r="G112" s="49">
        <v>10</v>
      </c>
      <c r="H112" s="50">
        <v>0</v>
      </c>
      <c r="I112" s="50" t="str">
        <f t="shared" si="9"/>
        <v/>
      </c>
      <c r="J112" s="51">
        <f t="shared" si="10"/>
        <v>0</v>
      </c>
      <c r="K112" s="47" t="str">
        <f t="shared" si="11"/>
        <v>⚠️ SIN STOCK</v>
      </c>
      <c r="L112" s="48" t="s">
        <v>334</v>
      </c>
      <c r="M112" s="48"/>
    </row>
    <row r="113" spans="1:13" x14ac:dyDescent="0.35">
      <c r="A113" s="85" t="s">
        <v>335</v>
      </c>
      <c r="B113" s="86"/>
      <c r="C113" s="86"/>
      <c r="D113" s="86"/>
      <c r="E113" s="86"/>
      <c r="F113" s="86"/>
      <c r="G113" s="86"/>
      <c r="H113" s="86"/>
      <c r="I113" s="52">
        <f>SUMIF(I4:I112,"&lt;&gt;0",I4:I112)</f>
        <v>0</v>
      </c>
      <c r="J113" s="53"/>
      <c r="K113" s="53"/>
      <c r="L113" s="53"/>
      <c r="M113" s="53"/>
    </row>
  </sheetData>
  <mergeCells count="3">
    <mergeCell ref="A113:H11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F14"/>
  <sheetViews>
    <sheetView workbookViewId="0"/>
  </sheetViews>
  <sheetFormatPr baseColWidth="10" defaultColWidth="8.7265625" defaultRowHeight="14.5" x14ac:dyDescent="0.35"/>
  <cols>
    <col min="1" max="1" width="20" customWidth="1"/>
    <col min="2" max="2" width="14" customWidth="1"/>
    <col min="3" max="6" width="18" customWidth="1"/>
  </cols>
  <sheetData>
    <row r="1" spans="1:6" ht="28" customHeight="1" x14ac:dyDescent="0.35">
      <c r="A1" s="90" t="s">
        <v>336</v>
      </c>
      <c r="B1" s="86"/>
      <c r="C1" s="86"/>
      <c r="D1" s="86"/>
      <c r="E1" s="86"/>
      <c r="F1" s="86"/>
    </row>
    <row r="2" spans="1:6" ht="30" customHeight="1" x14ac:dyDescent="0.35">
      <c r="A2" s="1" t="s">
        <v>2</v>
      </c>
      <c r="B2" s="1" t="s">
        <v>337</v>
      </c>
      <c r="C2" s="1" t="s">
        <v>10</v>
      </c>
      <c r="D2" s="1" t="s">
        <v>338</v>
      </c>
      <c r="E2" s="1" t="s">
        <v>339</v>
      </c>
      <c r="F2" s="1" t="s">
        <v>340</v>
      </c>
    </row>
    <row r="3" spans="1:6" x14ac:dyDescent="0.35">
      <c r="A3" s="54" t="s">
        <v>15</v>
      </c>
      <c r="B3" s="55">
        <v>20</v>
      </c>
      <c r="C3" s="56" t="s">
        <v>341</v>
      </c>
      <c r="D3" s="56" t="s">
        <v>341</v>
      </c>
      <c r="E3" s="56" t="s">
        <v>341</v>
      </c>
      <c r="F3" s="56" t="s">
        <v>341</v>
      </c>
    </row>
    <row r="4" spans="1:6" x14ac:dyDescent="0.35">
      <c r="A4" s="57" t="s">
        <v>79</v>
      </c>
      <c r="B4" s="58">
        <v>13</v>
      </c>
      <c r="C4" s="59" t="s">
        <v>341</v>
      </c>
      <c r="D4" s="59" t="s">
        <v>341</v>
      </c>
      <c r="E4" s="59" t="s">
        <v>341</v>
      </c>
      <c r="F4" s="59" t="s">
        <v>341</v>
      </c>
    </row>
    <row r="5" spans="1:6" x14ac:dyDescent="0.35">
      <c r="A5" s="60" t="s">
        <v>113</v>
      </c>
      <c r="B5" s="61">
        <v>13</v>
      </c>
      <c r="C5" s="62" t="s">
        <v>341</v>
      </c>
      <c r="D5" s="62" t="s">
        <v>341</v>
      </c>
      <c r="E5" s="62" t="s">
        <v>341</v>
      </c>
      <c r="F5" s="62" t="s">
        <v>341</v>
      </c>
    </row>
    <row r="6" spans="1:6" x14ac:dyDescent="0.35">
      <c r="A6" s="63" t="s">
        <v>148</v>
      </c>
      <c r="B6" s="64">
        <v>8</v>
      </c>
      <c r="C6" s="65" t="s">
        <v>341</v>
      </c>
      <c r="D6" s="65" t="s">
        <v>341</v>
      </c>
      <c r="E6" s="65" t="s">
        <v>341</v>
      </c>
      <c r="F6" s="65" t="s">
        <v>341</v>
      </c>
    </row>
    <row r="7" spans="1:6" x14ac:dyDescent="0.35">
      <c r="A7" s="66" t="s">
        <v>172</v>
      </c>
      <c r="B7" s="67">
        <v>14</v>
      </c>
      <c r="C7" s="68" t="s">
        <v>341</v>
      </c>
      <c r="D7" s="68" t="s">
        <v>341</v>
      </c>
      <c r="E7" s="68" t="s">
        <v>341</v>
      </c>
      <c r="F7" s="68" t="s">
        <v>341</v>
      </c>
    </row>
    <row r="8" spans="1:6" x14ac:dyDescent="0.35">
      <c r="A8" s="69" t="s">
        <v>215</v>
      </c>
      <c r="B8" s="70">
        <v>7</v>
      </c>
      <c r="C8" s="71" t="s">
        <v>341</v>
      </c>
      <c r="D8" s="71" t="s">
        <v>341</v>
      </c>
      <c r="E8" s="71" t="s">
        <v>341</v>
      </c>
      <c r="F8" s="71" t="s">
        <v>341</v>
      </c>
    </row>
    <row r="9" spans="1:6" x14ac:dyDescent="0.35">
      <c r="A9" s="72" t="s">
        <v>235</v>
      </c>
      <c r="B9" s="73">
        <v>17</v>
      </c>
      <c r="C9" s="74" t="s">
        <v>341</v>
      </c>
      <c r="D9" s="74" t="s">
        <v>341</v>
      </c>
      <c r="E9" s="74" t="s">
        <v>341</v>
      </c>
      <c r="F9" s="74" t="s">
        <v>341</v>
      </c>
    </row>
    <row r="10" spans="1:6" x14ac:dyDescent="0.35">
      <c r="A10" s="75" t="s">
        <v>280</v>
      </c>
      <c r="B10" s="76">
        <v>4</v>
      </c>
      <c r="C10" s="77" t="s">
        <v>341</v>
      </c>
      <c r="D10" s="77" t="s">
        <v>341</v>
      </c>
      <c r="E10" s="77" t="s">
        <v>341</v>
      </c>
      <c r="F10" s="77" t="s">
        <v>341</v>
      </c>
    </row>
    <row r="11" spans="1:6" x14ac:dyDescent="0.35">
      <c r="A11" s="78" t="s">
        <v>291</v>
      </c>
      <c r="B11" s="79">
        <v>5</v>
      </c>
      <c r="C11" s="80" t="s">
        <v>341</v>
      </c>
      <c r="D11" s="80" t="s">
        <v>341</v>
      </c>
      <c r="E11" s="80" t="s">
        <v>341</v>
      </c>
      <c r="F11" s="80" t="s">
        <v>341</v>
      </c>
    </row>
    <row r="12" spans="1:6" x14ac:dyDescent="0.35">
      <c r="A12" s="81" t="s">
        <v>307</v>
      </c>
      <c r="B12" s="82">
        <v>8</v>
      </c>
      <c r="C12" s="83" t="s">
        <v>341</v>
      </c>
      <c r="D12" s="83" t="s">
        <v>341</v>
      </c>
      <c r="E12" s="83" t="s">
        <v>341</v>
      </c>
      <c r="F12" s="83" t="s">
        <v>341</v>
      </c>
    </row>
    <row r="14" spans="1:6" x14ac:dyDescent="0.35">
      <c r="A14" s="89" t="s">
        <v>342</v>
      </c>
      <c r="B14" s="86"/>
      <c r="C14" s="86"/>
      <c r="D14" s="86"/>
      <c r="E14" s="86"/>
      <c r="F14" s="86"/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F00"/>
  </sheetPr>
  <dimension ref="A1:G28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3" width="22" customWidth="1"/>
    <col min="4" max="4" width="16" customWidth="1"/>
    <col min="5" max="5" width="28" customWidth="1"/>
    <col min="6" max="6" width="18" customWidth="1"/>
    <col min="7" max="7" width="25" customWidth="1"/>
  </cols>
  <sheetData>
    <row r="1" spans="1:7" ht="28" customHeight="1" x14ac:dyDescent="0.35">
      <c r="A1" s="90" t="s">
        <v>343</v>
      </c>
      <c r="B1" s="86"/>
      <c r="C1" s="86"/>
      <c r="D1" s="86"/>
      <c r="E1" s="86"/>
      <c r="F1" s="86"/>
      <c r="G1" s="86"/>
    </row>
    <row r="2" spans="1:7" ht="30" customHeight="1" x14ac:dyDescent="0.35">
      <c r="A2" s="1" t="s">
        <v>344</v>
      </c>
      <c r="B2" s="1" t="s">
        <v>345</v>
      </c>
      <c r="C2" s="1" t="s">
        <v>346</v>
      </c>
      <c r="D2" s="1" t="s">
        <v>347</v>
      </c>
      <c r="E2" s="1" t="s">
        <v>348</v>
      </c>
      <c r="F2" s="1" t="s">
        <v>349</v>
      </c>
      <c r="G2" s="1" t="s">
        <v>14</v>
      </c>
    </row>
    <row r="3" spans="1:7" x14ac:dyDescent="0.35">
      <c r="A3" s="3" t="s">
        <v>350</v>
      </c>
      <c r="B3" s="3" t="s">
        <v>351</v>
      </c>
      <c r="C3" s="3" t="s">
        <v>352</v>
      </c>
      <c r="D3" s="3"/>
      <c r="E3" s="3" t="s">
        <v>353</v>
      </c>
      <c r="F3" s="3"/>
      <c r="G3" s="3"/>
    </row>
    <row r="4" spans="1:7" x14ac:dyDescent="0.35">
      <c r="A4" s="84" t="s">
        <v>354</v>
      </c>
      <c r="B4" s="84" t="s">
        <v>355</v>
      </c>
      <c r="C4" s="84" t="s">
        <v>356</v>
      </c>
      <c r="D4" s="84"/>
      <c r="E4" s="84" t="s">
        <v>357</v>
      </c>
      <c r="F4" s="84"/>
      <c r="G4" s="84"/>
    </row>
    <row r="5" spans="1:7" x14ac:dyDescent="0.35">
      <c r="A5" s="3" t="s">
        <v>358</v>
      </c>
      <c r="B5" s="3" t="s">
        <v>355</v>
      </c>
      <c r="C5" s="3" t="s">
        <v>356</v>
      </c>
      <c r="D5" s="3"/>
      <c r="E5" s="3" t="s">
        <v>359</v>
      </c>
      <c r="F5" s="3"/>
      <c r="G5" s="3"/>
    </row>
    <row r="6" spans="1:7" x14ac:dyDescent="0.35">
      <c r="A6" s="84" t="s">
        <v>360</v>
      </c>
      <c r="B6" s="84" t="s">
        <v>361</v>
      </c>
      <c r="C6" s="84" t="s">
        <v>356</v>
      </c>
      <c r="D6" s="84"/>
      <c r="E6" s="84" t="s">
        <v>362</v>
      </c>
      <c r="F6" s="84"/>
      <c r="G6" s="84"/>
    </row>
    <row r="7" spans="1:7" x14ac:dyDescent="0.35">
      <c r="A7" s="3" t="s">
        <v>363</v>
      </c>
      <c r="B7" s="3" t="s">
        <v>364</v>
      </c>
      <c r="C7" s="3" t="s">
        <v>356</v>
      </c>
      <c r="D7" s="3"/>
      <c r="E7" s="3" t="s">
        <v>365</v>
      </c>
      <c r="F7" s="3"/>
      <c r="G7" s="3"/>
    </row>
    <row r="8" spans="1:7" x14ac:dyDescent="0.35">
      <c r="A8" s="84" t="s">
        <v>366</v>
      </c>
      <c r="B8" s="84" t="s">
        <v>367</v>
      </c>
      <c r="C8" s="84" t="s">
        <v>356</v>
      </c>
      <c r="D8" s="84"/>
      <c r="E8" s="84" t="s">
        <v>368</v>
      </c>
      <c r="F8" s="84"/>
      <c r="G8" s="84"/>
    </row>
    <row r="9" spans="1:7" x14ac:dyDescent="0.35">
      <c r="A9" s="3" t="s">
        <v>369</v>
      </c>
      <c r="B9" s="3" t="s">
        <v>370</v>
      </c>
      <c r="C9" s="3" t="s">
        <v>356</v>
      </c>
      <c r="D9" s="3"/>
      <c r="E9" s="3" t="s">
        <v>371</v>
      </c>
      <c r="F9" s="3"/>
      <c r="G9" s="3"/>
    </row>
    <row r="10" spans="1:7" x14ac:dyDescent="0.35">
      <c r="A10" s="84" t="s">
        <v>372</v>
      </c>
      <c r="B10" s="84" t="s">
        <v>373</v>
      </c>
      <c r="C10" s="84" t="s">
        <v>356</v>
      </c>
      <c r="D10" s="84"/>
      <c r="E10" s="84" t="s">
        <v>374</v>
      </c>
      <c r="F10" s="84"/>
      <c r="G10" s="84"/>
    </row>
    <row r="11" spans="1:7" x14ac:dyDescent="0.35">
      <c r="A11" s="3" t="s">
        <v>375</v>
      </c>
      <c r="B11" s="3" t="s">
        <v>376</v>
      </c>
      <c r="C11" s="3" t="s">
        <v>356</v>
      </c>
      <c r="D11" s="3"/>
      <c r="E11" s="3" t="s">
        <v>374</v>
      </c>
      <c r="F11" s="3"/>
      <c r="G11" s="3" t="s">
        <v>377</v>
      </c>
    </row>
    <row r="12" spans="1:7" x14ac:dyDescent="0.35">
      <c r="A12" s="84" t="s">
        <v>378</v>
      </c>
      <c r="B12" s="84" t="s">
        <v>379</v>
      </c>
      <c r="C12" s="84" t="s">
        <v>380</v>
      </c>
      <c r="D12" s="84"/>
      <c r="E12" s="84" t="s">
        <v>381</v>
      </c>
      <c r="F12" s="84"/>
      <c r="G12" s="84"/>
    </row>
    <row r="13" spans="1:7" x14ac:dyDescent="0.35">
      <c r="A13" s="3" t="s">
        <v>382</v>
      </c>
      <c r="B13" s="3" t="s">
        <v>383</v>
      </c>
      <c r="C13" s="3" t="s">
        <v>352</v>
      </c>
      <c r="D13" s="3"/>
      <c r="E13" s="3" t="s">
        <v>384</v>
      </c>
      <c r="F13" s="3"/>
      <c r="G13" s="3" t="s">
        <v>385</v>
      </c>
    </row>
    <row r="14" spans="1:7" x14ac:dyDescent="0.35">
      <c r="A14" s="84" t="s">
        <v>386</v>
      </c>
      <c r="B14" s="84" t="s">
        <v>387</v>
      </c>
      <c r="C14" s="84" t="s">
        <v>356</v>
      </c>
      <c r="D14" s="84"/>
      <c r="E14" s="84" t="s">
        <v>388</v>
      </c>
      <c r="F14" s="84"/>
      <c r="G14" s="84"/>
    </row>
    <row r="15" spans="1:7" x14ac:dyDescent="0.35">
      <c r="A15" s="3" t="s">
        <v>389</v>
      </c>
      <c r="B15" s="3" t="s">
        <v>390</v>
      </c>
      <c r="C15" s="3" t="s">
        <v>391</v>
      </c>
      <c r="D15" s="3"/>
      <c r="E15" s="3" t="s">
        <v>392</v>
      </c>
      <c r="F15" s="3"/>
      <c r="G15" s="3"/>
    </row>
    <row r="16" spans="1:7" x14ac:dyDescent="0.35">
      <c r="A16" s="84" t="s">
        <v>393</v>
      </c>
      <c r="B16" s="84" t="s">
        <v>390</v>
      </c>
      <c r="C16" s="84" t="s">
        <v>356</v>
      </c>
      <c r="D16" s="84"/>
      <c r="E16" s="84" t="s">
        <v>394</v>
      </c>
      <c r="F16" s="84"/>
      <c r="G16" s="84"/>
    </row>
    <row r="17" spans="1:7" x14ac:dyDescent="0.35">
      <c r="A17" s="3" t="s">
        <v>395</v>
      </c>
      <c r="B17" s="3" t="s">
        <v>396</v>
      </c>
      <c r="C17" s="3" t="s">
        <v>356</v>
      </c>
      <c r="D17" s="3"/>
      <c r="E17" s="3" t="s">
        <v>397</v>
      </c>
      <c r="F17" s="3"/>
      <c r="G17" s="3"/>
    </row>
    <row r="18" spans="1:7" x14ac:dyDescent="0.35">
      <c r="A18" s="84" t="s">
        <v>398</v>
      </c>
      <c r="B18" s="84" t="s">
        <v>399</v>
      </c>
      <c r="C18" s="84" t="s">
        <v>356</v>
      </c>
      <c r="D18" s="84"/>
      <c r="E18" s="84" t="s">
        <v>371</v>
      </c>
      <c r="F18" s="84"/>
      <c r="G18" s="84"/>
    </row>
    <row r="19" spans="1:7" x14ac:dyDescent="0.35">
      <c r="A19" s="3" t="s">
        <v>400</v>
      </c>
      <c r="B19" s="3" t="s">
        <v>401</v>
      </c>
      <c r="C19" s="3" t="s">
        <v>356</v>
      </c>
      <c r="D19" s="3"/>
      <c r="E19" s="3" t="s">
        <v>402</v>
      </c>
      <c r="F19" s="3"/>
      <c r="G19" s="3"/>
    </row>
    <row r="20" spans="1:7" x14ac:dyDescent="0.35">
      <c r="A20" s="84" t="s">
        <v>403</v>
      </c>
      <c r="B20" s="84" t="s">
        <v>404</v>
      </c>
      <c r="C20" s="84" t="s">
        <v>356</v>
      </c>
      <c r="D20" s="84"/>
      <c r="E20" s="84" t="s">
        <v>405</v>
      </c>
      <c r="F20" s="84"/>
      <c r="G20" s="84"/>
    </row>
    <row r="21" spans="1:7" x14ac:dyDescent="0.35">
      <c r="A21" s="3" t="s">
        <v>406</v>
      </c>
      <c r="B21" s="3" t="s">
        <v>407</v>
      </c>
      <c r="C21" s="3" t="s">
        <v>356</v>
      </c>
      <c r="D21" s="3"/>
      <c r="E21" s="3" t="s">
        <v>408</v>
      </c>
      <c r="F21" s="3"/>
      <c r="G21" s="3"/>
    </row>
    <row r="22" spans="1:7" x14ac:dyDescent="0.35">
      <c r="A22" s="84" t="s">
        <v>409</v>
      </c>
      <c r="B22" s="84" t="s">
        <v>407</v>
      </c>
      <c r="C22" s="84" t="s">
        <v>356</v>
      </c>
      <c r="D22" s="84"/>
      <c r="E22" s="84" t="s">
        <v>410</v>
      </c>
      <c r="F22" s="84"/>
      <c r="G22" s="84"/>
    </row>
    <row r="23" spans="1:7" x14ac:dyDescent="0.35">
      <c r="A23" s="3" t="s">
        <v>411</v>
      </c>
      <c r="B23" s="3" t="s">
        <v>412</v>
      </c>
      <c r="C23" s="3" t="s">
        <v>356</v>
      </c>
      <c r="D23" s="3"/>
      <c r="E23" s="3" t="s">
        <v>413</v>
      </c>
      <c r="F23" s="3"/>
      <c r="G23" s="3"/>
    </row>
    <row r="24" spans="1:7" x14ac:dyDescent="0.35">
      <c r="A24" s="84" t="s">
        <v>414</v>
      </c>
      <c r="B24" s="84" t="s">
        <v>415</v>
      </c>
      <c r="C24" s="84" t="s">
        <v>416</v>
      </c>
      <c r="D24" s="84"/>
      <c r="E24" s="84" t="s">
        <v>417</v>
      </c>
      <c r="F24" s="84"/>
      <c r="G24" s="84"/>
    </row>
    <row r="25" spans="1:7" x14ac:dyDescent="0.35">
      <c r="A25" s="3" t="s">
        <v>418</v>
      </c>
      <c r="B25" s="3" t="s">
        <v>419</v>
      </c>
      <c r="C25" s="3" t="s">
        <v>356</v>
      </c>
      <c r="D25" s="3"/>
      <c r="E25" s="3" t="s">
        <v>420</v>
      </c>
      <c r="F25" s="3"/>
      <c r="G25" s="3"/>
    </row>
    <row r="26" spans="1:7" x14ac:dyDescent="0.35">
      <c r="A26" s="84" t="s">
        <v>421</v>
      </c>
      <c r="B26" s="84" t="s">
        <v>422</v>
      </c>
      <c r="C26" s="84" t="s">
        <v>356</v>
      </c>
      <c r="D26" s="84"/>
      <c r="E26" s="84" t="s">
        <v>423</v>
      </c>
      <c r="F26" s="84"/>
      <c r="G26" s="84"/>
    </row>
    <row r="27" spans="1:7" x14ac:dyDescent="0.35">
      <c r="A27" s="3" t="s">
        <v>424</v>
      </c>
      <c r="B27" s="3" t="s">
        <v>425</v>
      </c>
      <c r="C27" s="3" t="s">
        <v>356</v>
      </c>
      <c r="D27" s="3"/>
      <c r="E27" s="3" t="s">
        <v>426</v>
      </c>
      <c r="F27" s="3"/>
      <c r="G27" s="3"/>
    </row>
    <row r="28" spans="1:7" x14ac:dyDescent="0.35">
      <c r="A28" s="84" t="s">
        <v>427</v>
      </c>
      <c r="B28" s="84" t="s">
        <v>428</v>
      </c>
      <c r="C28" s="84" t="s">
        <v>429</v>
      </c>
      <c r="D28" s="84"/>
      <c r="E28" s="84"/>
      <c r="F28" s="84"/>
      <c r="G28" s="84" t="s">
        <v>430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:B27"/>
  <sheetViews>
    <sheetView workbookViewId="0"/>
  </sheetViews>
  <sheetFormatPr baseColWidth="10" defaultColWidth="8.7265625" defaultRowHeight="14.5" x14ac:dyDescent="0.35"/>
  <cols>
    <col min="1" max="1" width="80" customWidth="1"/>
    <col min="2" max="2" width="20" customWidth="1"/>
  </cols>
  <sheetData>
    <row r="1" spans="1:2" ht="30" customHeight="1" x14ac:dyDescent="0.35">
      <c r="A1" s="88" t="s">
        <v>431</v>
      </c>
      <c r="B1" s="86"/>
    </row>
    <row r="2" spans="1:2" ht="18" customHeight="1" x14ac:dyDescent="0.35">
      <c r="A2" s="86"/>
      <c r="B2" s="86"/>
    </row>
    <row r="3" spans="1:2" ht="18" customHeight="1" x14ac:dyDescent="0.35">
      <c r="A3" s="92" t="s">
        <v>432</v>
      </c>
      <c r="B3" s="86"/>
    </row>
    <row r="4" spans="1:2" ht="18" customHeight="1" x14ac:dyDescent="0.35">
      <c r="A4" s="91" t="s">
        <v>433</v>
      </c>
      <c r="B4" s="86"/>
    </row>
    <row r="5" spans="1:2" ht="18" customHeight="1" x14ac:dyDescent="0.35">
      <c r="A5" s="91" t="s">
        <v>434</v>
      </c>
      <c r="B5" s="86"/>
    </row>
    <row r="6" spans="1:2" ht="18" customHeight="1" x14ac:dyDescent="0.35">
      <c r="A6" s="91" t="s">
        <v>435</v>
      </c>
      <c r="B6" s="86"/>
    </row>
    <row r="7" spans="1:2" ht="18" customHeight="1" x14ac:dyDescent="0.35">
      <c r="A7" s="91" t="s">
        <v>436</v>
      </c>
      <c r="B7" s="86"/>
    </row>
    <row r="8" spans="1:2" ht="18" customHeight="1" x14ac:dyDescent="0.35">
      <c r="A8" s="93" t="s">
        <v>437</v>
      </c>
      <c r="B8" s="86"/>
    </row>
    <row r="9" spans="1:2" ht="18" customHeight="1" x14ac:dyDescent="0.35">
      <c r="A9" s="93" t="s">
        <v>438</v>
      </c>
      <c r="B9" s="86"/>
    </row>
    <row r="10" spans="1:2" ht="18" customHeight="1" x14ac:dyDescent="0.35">
      <c r="A10" s="93" t="s">
        <v>439</v>
      </c>
      <c r="B10" s="86"/>
    </row>
    <row r="11" spans="1:2" ht="18" customHeight="1" x14ac:dyDescent="0.35">
      <c r="A11" s="93" t="s">
        <v>440</v>
      </c>
      <c r="B11" s="86"/>
    </row>
    <row r="12" spans="1:2" ht="18" customHeight="1" x14ac:dyDescent="0.35">
      <c r="A12" s="91" t="s">
        <v>441</v>
      </c>
      <c r="B12" s="86"/>
    </row>
    <row r="13" spans="1:2" ht="18" customHeight="1" x14ac:dyDescent="0.35">
      <c r="A13" s="91" t="s">
        <v>442</v>
      </c>
      <c r="B13" s="86"/>
    </row>
    <row r="14" spans="1:2" ht="18" customHeight="1" x14ac:dyDescent="0.35">
      <c r="A14" s="86"/>
      <c r="B14" s="86"/>
    </row>
    <row r="15" spans="1:2" ht="18" customHeight="1" x14ac:dyDescent="0.35">
      <c r="A15" s="92" t="s">
        <v>443</v>
      </c>
      <c r="B15" s="86"/>
    </row>
    <row r="16" spans="1:2" ht="18" customHeight="1" x14ac:dyDescent="0.35">
      <c r="A16" s="91" t="s">
        <v>444</v>
      </c>
      <c r="B16" s="86"/>
    </row>
    <row r="17" spans="1:2" ht="18" customHeight="1" x14ac:dyDescent="0.35">
      <c r="A17" s="91" t="s">
        <v>445</v>
      </c>
      <c r="B17" s="86"/>
    </row>
    <row r="18" spans="1:2" ht="18" customHeight="1" x14ac:dyDescent="0.35">
      <c r="A18" s="86"/>
      <c r="B18" s="86"/>
    </row>
    <row r="19" spans="1:2" ht="18" customHeight="1" x14ac:dyDescent="0.35">
      <c r="A19" s="92" t="s">
        <v>446</v>
      </c>
      <c r="B19" s="86"/>
    </row>
    <row r="20" spans="1:2" ht="18" customHeight="1" x14ac:dyDescent="0.35">
      <c r="A20" s="91" t="s">
        <v>447</v>
      </c>
      <c r="B20" s="86"/>
    </row>
    <row r="21" spans="1:2" ht="18" customHeight="1" x14ac:dyDescent="0.35">
      <c r="A21" s="91" t="s">
        <v>448</v>
      </c>
      <c r="B21" s="86"/>
    </row>
    <row r="22" spans="1:2" ht="18" customHeight="1" x14ac:dyDescent="0.35">
      <c r="A22" s="86"/>
      <c r="B22" s="86"/>
    </row>
    <row r="23" spans="1:2" ht="18" customHeight="1" x14ac:dyDescent="0.35">
      <c r="A23" s="92" t="s">
        <v>449</v>
      </c>
      <c r="B23" s="86"/>
    </row>
    <row r="24" spans="1:2" ht="18" customHeight="1" x14ac:dyDescent="0.35">
      <c r="A24" s="91" t="s">
        <v>450</v>
      </c>
      <c r="B24" s="86"/>
    </row>
    <row r="25" spans="1:2" ht="18" customHeight="1" x14ac:dyDescent="0.35">
      <c r="A25" s="91" t="s">
        <v>451</v>
      </c>
      <c r="B25" s="86"/>
    </row>
    <row r="26" spans="1:2" ht="18" customHeight="1" x14ac:dyDescent="0.35">
      <c r="A26" s="91" t="s">
        <v>452</v>
      </c>
      <c r="B26" s="86"/>
    </row>
    <row r="27" spans="1:2" ht="18" customHeight="1" x14ac:dyDescent="0.35">
      <c r="A27" s="91" t="s">
        <v>453</v>
      </c>
      <c r="B27" s="86"/>
    </row>
  </sheetData>
  <mergeCells count="27"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24:B24"/>
    <mergeCell ref="A15:B15"/>
    <mergeCell ref="A11:B11"/>
    <mergeCell ref="A1:B1"/>
    <mergeCell ref="A6:B6"/>
    <mergeCell ref="A16:B16"/>
    <mergeCell ref="A7:B7"/>
    <mergeCell ref="A2:B2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STOCK INSUMOS</vt:lpstr>
      <vt:lpstr>RESUMEN POR RUBRO</vt:lpstr>
      <vt:lpstr>PROVEEDORES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BORN</cp:lastModifiedBy>
  <dcterms:created xsi:type="dcterms:W3CDTF">2026-05-07T21:01:20Z</dcterms:created>
  <dcterms:modified xsi:type="dcterms:W3CDTF">2026-05-07T21:03:09Z</dcterms:modified>
</cp:coreProperties>
</file>