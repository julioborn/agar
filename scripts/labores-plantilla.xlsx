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012c417981308819/Desktop/BORN/ABASTECEDORA/CARPETAS AGRICULTURA/AGRICULTURA/"/>
    </mc:Choice>
  </mc:AlternateContent>
  <xr:revisionPtr revIDLastSave="2" documentId="8_{F5884D46-B240-4B29-979B-36BD1324D0EF}" xr6:coauthVersionLast="47" xr6:coauthVersionMax="47" xr10:uidLastSave="{EB2227DA-A98D-4955-B2D9-BA7453EA3D4F}"/>
  <bookViews>
    <workbookView xWindow="-110" yWindow="-110" windowWidth="34620" windowHeight="13900" xr2:uid="{00000000-000D-0000-FFFF-FFFF00000000}"/>
  </bookViews>
  <sheets>
    <sheet name="LABORES AGRÍCOLAS" sheetId="1" r:id="rId1"/>
    <sheet name="COSTO POR CULTIVO" sheetId="2" r:id="rId2"/>
    <sheet name="RESUMEN COMPARATIVO" sheetId="3" r:id="rId3"/>
    <sheet name="📋 INSTRUCCION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4" i="2"/>
  <c r="G4" i="2" s="1"/>
  <c r="G21" i="2" s="1"/>
  <c r="M98" i="1"/>
  <c r="M97" i="1"/>
  <c r="M96" i="1"/>
  <c r="M95" i="1"/>
  <c r="M94" i="1"/>
  <c r="M93" i="1"/>
  <c r="M92" i="1"/>
  <c r="M91" i="1"/>
  <c r="M90" i="1"/>
  <c r="M88" i="1"/>
  <c r="M87" i="1"/>
  <c r="M86" i="1"/>
  <c r="M85" i="1"/>
  <c r="M84" i="1"/>
  <c r="M82" i="1"/>
  <c r="M81" i="1"/>
  <c r="M80" i="1"/>
  <c r="M79" i="1"/>
  <c r="M78" i="1"/>
  <c r="M77" i="1"/>
  <c r="M76" i="1"/>
  <c r="M74" i="1"/>
  <c r="M73" i="1"/>
  <c r="M72" i="1"/>
  <c r="M71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5" i="1"/>
  <c r="M54" i="1"/>
  <c r="M53" i="1"/>
  <c r="M52" i="1"/>
  <c r="M50" i="1"/>
  <c r="M49" i="1"/>
  <c r="M48" i="1"/>
  <c r="M47" i="1"/>
  <c r="M46" i="1"/>
  <c r="M44" i="1"/>
  <c r="M43" i="1"/>
  <c r="M42" i="1"/>
  <c r="M41" i="1"/>
  <c r="M40" i="1"/>
  <c r="M39" i="1"/>
  <c r="M38" i="1"/>
  <c r="M37" i="1"/>
  <c r="M36" i="1"/>
  <c r="M34" i="1"/>
  <c r="M33" i="1"/>
  <c r="M32" i="1"/>
  <c r="M31" i="1"/>
  <c r="M30" i="1"/>
  <c r="M29" i="1"/>
  <c r="M28" i="1"/>
  <c r="M27" i="1"/>
  <c r="M25" i="1"/>
  <c r="M24" i="1"/>
  <c r="M23" i="1"/>
  <c r="M22" i="1"/>
  <c r="M21" i="1"/>
  <c r="M20" i="1"/>
  <c r="M19" i="1"/>
  <c r="M18" i="1"/>
  <c r="M17" i="1"/>
  <c r="M16" i="1"/>
  <c r="M15" i="1"/>
  <c r="M13" i="1"/>
  <c r="M12" i="1"/>
  <c r="M11" i="1"/>
  <c r="M10" i="1"/>
  <c r="M9" i="1"/>
  <c r="M8" i="1"/>
  <c r="M7" i="1"/>
  <c r="M6" i="1"/>
  <c r="M5" i="1"/>
</calcChain>
</file>

<file path=xl/sharedStrings.xml><?xml version="1.0" encoding="utf-8"?>
<sst xmlns="http://schemas.openxmlformats.org/spreadsheetml/2006/main" count="926" uniqueCount="595">
  <si>
    <t>LISTADO DE LABORES AGRÍCOLAS – COSTOS POR LABOREO</t>
  </si>
  <si>
    <t>Cereales · Oleaginosas · Forrajeras · Pasturas  |  Zona Santa Fe, Argentina  |  07/05/2026</t>
  </si>
  <si>
    <t>N°</t>
  </si>
  <si>
    <t>CATEGORÍA</t>
  </si>
  <si>
    <t>ETAPA</t>
  </si>
  <si>
    <t>LABOR / TAREA</t>
  </si>
  <si>
    <t>DESCRIPCIÓN</t>
  </si>
  <si>
    <t>EQUIPO / MAQUINARIA</t>
  </si>
  <si>
    <t>UNIDAD DE COSTO</t>
  </si>
  <si>
    <t>RENDIMIENTO TÍPICO</t>
  </si>
  <si>
    <t>ÉPOCA DE APLICACIÓN</t>
  </si>
  <si>
    <t>COSTO PROPIO ($/u)</t>
  </si>
  <si>
    <t>COSTO CONTRATADO ($/u)</t>
  </si>
  <si>
    <t>SUPERFICIE / CANTIDAD</t>
  </si>
  <si>
    <t>COSTO TOTAL ($)</t>
  </si>
  <si>
    <t>OBSERVACIONES</t>
  </si>
  <si>
    <t>▶  LABRANZA Y PREPARACIÓN DE SUELO</t>
  </si>
  <si>
    <t>LABRANZA Y PREPARACIÓN DE SUELO</t>
  </si>
  <si>
    <t>Labranza primaria</t>
  </si>
  <si>
    <t>Cincel o subsolado</t>
  </si>
  <si>
    <t>Rotura de piso de arado, descompactación profunda (35-45 cm)</t>
  </si>
  <si>
    <t>Tractor &gt;160 HP + cincel 9-11 cuerpos</t>
  </si>
  <si>
    <t>$/ha</t>
  </si>
  <si>
    <t>3-4 ha/h</t>
  </si>
  <si>
    <t>Otoño-invierno</t>
  </si>
  <si>
    <t>Suelos compactados; no realizar en suelo húmedo</t>
  </si>
  <si>
    <t>Arado de rejas y vertederas</t>
  </si>
  <si>
    <t>Inversión de horizonte, control de malezas y residuos</t>
  </si>
  <si>
    <t>Tractor &gt;160 HP + arado 5-6 cuerpos</t>
  </si>
  <si>
    <t>1.5-2.5 ha/h</t>
  </si>
  <si>
    <t>Otoño</t>
  </si>
  <si>
    <t>Uso decreciente en SD; suelos pesados</t>
  </si>
  <si>
    <t>Arado de discos</t>
  </si>
  <si>
    <t>Rotura y mezcla de rastrojo, suelos con mucha cobertura</t>
  </si>
  <si>
    <t>Tractor &gt;140 HP + arado de discos</t>
  </si>
  <si>
    <t>2-3 ha/h</t>
  </si>
  <si>
    <t>Alternativa al de rejas en suelos pedregosos</t>
  </si>
  <si>
    <t>Labranza secundaria</t>
  </si>
  <si>
    <t>Rastra de discos pesada</t>
  </si>
  <si>
    <t>Mullido y emparejamiento, incorporación de rastrojos</t>
  </si>
  <si>
    <t>Tractor &gt;130 HP + rastra 28-32 discos</t>
  </si>
  <si>
    <t>4-6 ha/h</t>
  </si>
  <si>
    <t>Previo a siembra</t>
  </si>
  <si>
    <t>Puede realizarse 2 pasadas</t>
  </si>
  <si>
    <t>Rastra de dientes / vibrocultivador</t>
  </si>
  <si>
    <t>Mullido superficial y control de malezas germinadas</t>
  </si>
  <si>
    <t>Tractor 100-130 HP + vibrocultivador</t>
  </si>
  <si>
    <t>5-8 ha/h</t>
  </si>
  <si>
    <t>Prepara cama de siembra fina</t>
  </si>
  <si>
    <t>Rolo desterronador / nivelador</t>
  </si>
  <si>
    <t>Nivelación, destronamiento y compactación superficial</t>
  </si>
  <si>
    <t>Tractor 100 HP + rolo Cambridge</t>
  </si>
  <si>
    <t>6-10 ha/h</t>
  </si>
  <si>
    <t>Post-labranza</t>
  </si>
  <si>
    <t>Mejora contacto semilla-suelo</t>
  </si>
  <si>
    <t>Doble disco + rastra</t>
  </si>
  <si>
    <t>Combinado: rastra + rodillo en una pasada</t>
  </si>
  <si>
    <t>Tractor 120 HP + combinada</t>
  </si>
  <si>
    <t>4-7 ha/h</t>
  </si>
  <si>
    <t>Reduce compactación por tráfico</t>
  </si>
  <si>
    <t>Siembra directa</t>
  </si>
  <si>
    <t>Barbecho químico</t>
  </si>
  <si>
    <t>Eliminación de malezas sin labranza mecánica</t>
  </si>
  <si>
    <t>Pulverizadora autopropulsada / arrastrada</t>
  </si>
  <si>
    <t>30-60 ha/h</t>
  </si>
  <si>
    <t>Base del sistema SD</t>
  </si>
  <si>
    <t>Rolado de cobertura</t>
  </si>
  <si>
    <t>Aplastado de rastrojo para facilitar siembra directa</t>
  </si>
  <si>
    <t>Tractor 120 HP + rolo cuchilla</t>
  </si>
  <si>
    <t>Manejo de cobertura en SD</t>
  </si>
  <si>
    <t>▶  SIEMBRA</t>
  </si>
  <si>
    <t>SIEMBRA</t>
  </si>
  <si>
    <t>Siembra gruesa</t>
  </si>
  <si>
    <t>Siembra de soja SD</t>
  </si>
  <si>
    <t>Siembra directa de soja con tren de siembra neumático</t>
  </si>
  <si>
    <t>Tractor &gt;160 HP + sembradora 18-22 surcos a 52 cm</t>
  </si>
  <si>
    <t>Oct-Dic</t>
  </si>
  <si>
    <t>Densidad: 18-24 sem/m; monitorear distancia entre plantas</t>
  </si>
  <si>
    <t>Siembra de maíz SD</t>
  </si>
  <si>
    <t>Siembra directa de maíz con dosificadores a placa</t>
  </si>
  <si>
    <t>Tractor &gt;160 HP + sembradora 12-16 surcos a 52 cm</t>
  </si>
  <si>
    <t>Sep-Nov</t>
  </si>
  <si>
    <t>Densidad: 75.000-90.000 pl/ha</t>
  </si>
  <si>
    <t>Siembra de girasol SD</t>
  </si>
  <si>
    <t>Siembra directa de girasol</t>
  </si>
  <si>
    <t>Tractor &gt;140 HP + sembradora 8-12 surcos a 70 cm</t>
  </si>
  <si>
    <t>Sep-Oct</t>
  </si>
  <si>
    <t>Densidad: 40.000-55.000 pl/ha</t>
  </si>
  <si>
    <t>Siembra de sorgo granífero SD</t>
  </si>
  <si>
    <t>Siembra directa de sorgo granífero</t>
  </si>
  <si>
    <t>Tractor &gt;140 HP + sembradora</t>
  </si>
  <si>
    <t>Nov-Dic</t>
  </si>
  <si>
    <t>Densidad: 100.000-200.000 pl/ha</t>
  </si>
  <si>
    <t>Siembra fina</t>
  </si>
  <si>
    <t>Siembra de trigo SD</t>
  </si>
  <si>
    <t>Siembra directa de trigo con sembradora de grano fino</t>
  </si>
  <si>
    <t>Tractor &gt;130 HP + sembradora grano fino 21-27 surcos</t>
  </si>
  <si>
    <t>Jun-Jul</t>
  </si>
  <si>
    <t>Densidad: 180-220 kg/ha según variedad</t>
  </si>
  <si>
    <t>Siembra de cebada SD</t>
  </si>
  <si>
    <t>Siembra directa de cebada cervecera o forrajera</t>
  </si>
  <si>
    <t>Tractor &gt;130 HP + sembradora grano fino</t>
  </si>
  <si>
    <t>Similar a trigo</t>
  </si>
  <si>
    <t>Siembra de avena SD</t>
  </si>
  <si>
    <t>Siembra de avena forrajera o doble propósito</t>
  </si>
  <si>
    <t>Tractor &gt;120 HP + sembradora grano fino</t>
  </si>
  <si>
    <t>Mar-May</t>
  </si>
  <si>
    <t>Cobertura invernal / pastoreo</t>
  </si>
  <si>
    <t>Pasturas y forrajeras</t>
  </si>
  <si>
    <t>Siembra de alfalfa</t>
  </si>
  <si>
    <t>Siembra convencional o SD de alfalfa</t>
  </si>
  <si>
    <t>Tractor 120 HP + sembradora semilla menuda</t>
  </si>
  <si>
    <t>3-5 ha/h</t>
  </si>
  <si>
    <t>Mar-Abr / Ago-Sep</t>
  </si>
  <si>
    <t>Inoculación obligatoria; buena cama de siembra</t>
  </si>
  <si>
    <t>Siembra de festuca / raigrás</t>
  </si>
  <si>
    <t>Siembra de gramíneas forrajeras perennes/anuales</t>
  </si>
  <si>
    <t>Tractor 100 HP + sembradora semilla menuda</t>
  </si>
  <si>
    <t>Mar-Abr</t>
  </si>
  <si>
    <t>Mezcla con leguminosas frecuente</t>
  </si>
  <si>
    <t>Siembra de pastura consociada</t>
  </si>
  <si>
    <t>Mezcla de gramíneas + leguminosas</t>
  </si>
  <si>
    <t>Tractor 100 HP + sembradora</t>
  </si>
  <si>
    <t>Festuca+Alfalfa, Ryegrass+Trébol, etc.</t>
  </si>
  <si>
    <t>Curasemilla + inoculación</t>
  </si>
  <si>
    <t>Tratamiento de semilla previo a siembra (en tolva o planta)</t>
  </si>
  <si>
    <t>Curasemilladora / manual en bolsa</t>
  </si>
  <si>
    <t>—</t>
  </si>
  <si>
    <t>Fungicida + Insecticida + Inoculante según cultivo</t>
  </si>
  <si>
    <t>▶  FERTILIZACIÓN</t>
  </si>
  <si>
    <t>FERTILIZACIÓN</t>
  </si>
  <si>
    <t>Sólida al voleo</t>
  </si>
  <si>
    <t>Fertilización al voleo pre-siembra</t>
  </si>
  <si>
    <t>Aplicación de fertilizante sólido a voleo antes de sembrar</t>
  </si>
  <si>
    <t>Fertilizadora centrífuga autoprop. o arrastrada</t>
  </si>
  <si>
    <t>15-25 ha/h</t>
  </si>
  <si>
    <t>Urea, DAP, MAP, SFT, NPK; incorporar con lluvias</t>
  </si>
  <si>
    <t>Fertilización al voleo post-emergencia</t>
  </si>
  <si>
    <t>Aplicación de urea en cobertura sobre cultivo nacido</t>
  </si>
  <si>
    <t>Post-emergencia</t>
  </si>
  <si>
    <t>Urea; cuidado con quemado foliar en maíz/trigo</t>
  </si>
  <si>
    <t>Sólida localizada</t>
  </si>
  <si>
    <t>Fertilización localizada a la siembra</t>
  </si>
  <si>
    <t>Aplicación de fertilizante en la línea de siembra (doble disco)</t>
  </si>
  <si>
    <t>Sembradora con tolva fertilizante (cajón adicional)</t>
  </si>
  <si>
    <t>Al momento de siembra</t>
  </si>
  <si>
    <t>MAP o DAP en la línea; evitar contacto con semilla</t>
  </si>
  <si>
    <t>Fertilización en banda inter-hilera</t>
  </si>
  <si>
    <t>Aplicación en bandas entre hileras (soja/maíz)</t>
  </si>
  <si>
    <t>Equipo fertibanda autoprop. o acoplado al tractor</t>
  </si>
  <si>
    <t>Pre o post siembra</t>
  </si>
  <si>
    <t>Mayor eficiencia que voleo en P y S</t>
  </si>
  <si>
    <t>Líquida</t>
  </si>
  <si>
    <t>Fertilización líquida UAN al voleo</t>
  </si>
  <si>
    <t>Aplicación de UAN (Urea+Nitrato amónico 32%) a voleo</t>
  </si>
  <si>
    <t>Fertilizadora líquida con botalón o cisterna</t>
  </si>
  <si>
    <t>10-20 ha/h</t>
  </si>
  <si>
    <t>Macollaje trigo / V4-V6 maíz</t>
  </si>
  <si>
    <t>Volatilización menor que urea sólida</t>
  </si>
  <si>
    <t>Fertirriego (inyección en goteo/pivot)</t>
  </si>
  <si>
    <t>Aplicación de fertilizantes disueltos vía sistema de riego</t>
  </si>
  <si>
    <t>Bomba dosificadora + tanque mezcla</t>
  </si>
  <si>
    <t>Según cultivo y riego</t>
  </si>
  <si>
    <t>Alta eficiencia; requiere análisis de agua</t>
  </si>
  <si>
    <t>Foliar</t>
  </si>
  <si>
    <t>Fertilización foliar micronutrientes</t>
  </si>
  <si>
    <t>Aplicación foliar de Zn, B, Mn, Fe, aminoácidos</t>
  </si>
  <si>
    <t>Estadíos críticos del cultivo</t>
  </si>
  <si>
    <t>Complemento a la fertilización edáfica; dosis bajas</t>
  </si>
  <si>
    <t>Fertilización foliar NPK</t>
  </si>
  <si>
    <t>Aplicación foliar de N-P-K en estadíos clave</t>
  </si>
  <si>
    <t>V4-R1 en soja; macollaje en trigo</t>
  </si>
  <si>
    <t>Volumen: 80-150 L/ha</t>
  </si>
  <si>
    <t>▶  APLICACIÓN DE AGROQUÍMICOS</t>
  </si>
  <si>
    <t>APLICACIÓN DE AGROQUÍMICOS</t>
  </si>
  <si>
    <t>Barbecho</t>
  </si>
  <si>
    <t>Pulverización barbecho químico</t>
  </si>
  <si>
    <t>Aplicación de herbicidas de barbecho antes de siembra</t>
  </si>
  <si>
    <t>Pulverizadora autoprop. 3000 L / arrastrada 2000 L</t>
  </si>
  <si>
    <t>Glifosato ± 2,4-D ± dicamba; respetar carencias</t>
  </si>
  <si>
    <t>Pre-emergente</t>
  </si>
  <si>
    <t>Aplicación pre-emergente</t>
  </si>
  <si>
    <t>Herbicidas residuales antes de la emergencia del cultivo</t>
  </si>
  <si>
    <t>Pulverizadora autoprop. 3000 L / arrastrada</t>
  </si>
  <si>
    <t>Post-siembra pre-emergen.</t>
  </si>
  <si>
    <t>Atrazina, S-metolacloro, acetoclor, pendimetalina</t>
  </si>
  <si>
    <t>Post-emergente</t>
  </si>
  <si>
    <t>Aplicación post-emergente herbicidas</t>
  </si>
  <si>
    <t>Control de malezas en cultivo emergido</t>
  </si>
  <si>
    <t>Pulverizadora autoprop. ≥24 m botalón</t>
  </si>
  <si>
    <t>35-70 ha/h</t>
  </si>
  <si>
    <t>Post-emergencia temprana</t>
  </si>
  <si>
    <t>Gramíneas + hoja ancha; adjuvantes según formulación</t>
  </si>
  <si>
    <t>Aplicación fungicida foliar</t>
  </si>
  <si>
    <t>Control de enfermedades foliares (roya, mancha marrón, etc.)</t>
  </si>
  <si>
    <t>Pulverizadora autoprop. ≥28 m botalón</t>
  </si>
  <si>
    <t>R1-R3 en soja; espigazón trigo</t>
  </si>
  <si>
    <t>Estrobilurinas+Triazoles; 1 a 2 aplicaciones</t>
  </si>
  <si>
    <t>Aplicación insecticida</t>
  </si>
  <si>
    <t>Control de insectos plaga (chinche, oruga, pulgón, etc.)</t>
  </si>
  <si>
    <t>Pulverizadora autoprop. / arrastrada</t>
  </si>
  <si>
    <t>Según umbral económico</t>
  </si>
  <si>
    <t>Monitoreo previo obligatorio</t>
  </si>
  <si>
    <t>Aplicación acaricida</t>
  </si>
  <si>
    <t>Control de arañuela roja y otras especies de ácaros</t>
  </si>
  <si>
    <t>Verano en soja</t>
  </si>
  <si>
    <t>Abamectina, bifenazato, espirodiclofeno</t>
  </si>
  <si>
    <t>Aplicación bioestimulantes</t>
  </si>
  <si>
    <t>Aplicación foliar de aminoácidos, algas, ácidos húmicos</t>
  </si>
  <si>
    <t>Estadíos críticos</t>
  </si>
  <si>
    <t>Mezclable con fungicidas e insecticidas</t>
  </si>
  <si>
    <t>Curasemilla</t>
  </si>
  <si>
    <t>Curasemilla en sembradora</t>
  </si>
  <si>
    <t>Aplicación de curasemilla líquido directo en tolva</t>
  </si>
  <si>
    <t>Dosificador en sembradora</t>
  </si>
  <si>
    <t>Verificar calibración del dosificador</t>
  </si>
  <si>
    <t>Desecación</t>
  </si>
  <si>
    <t>Pulverización desecante pre-cosecha</t>
  </si>
  <si>
    <t>Aplicación de glifosato/diquat para uniformizar madurez</t>
  </si>
  <si>
    <t>Pre-cosecha (R7-R8 soja)</t>
  </si>
  <si>
    <t>Respetar período de carencia para cosecha</t>
  </si>
  <si>
    <t>▶  RIEGO</t>
  </si>
  <si>
    <t>RIEGO</t>
  </si>
  <si>
    <t>Riego por aspersión</t>
  </si>
  <si>
    <t>Riego con pivote central</t>
  </si>
  <si>
    <t>Riego mecanizado con pivote autopropulsado</t>
  </si>
  <si>
    <t>Pivote central eléctrico / hidráulico</t>
  </si>
  <si>
    <t>$/ha·mm</t>
  </si>
  <si>
    <t>Variable</t>
  </si>
  <si>
    <t>Siembra a madurez</t>
  </si>
  <si>
    <t>Alta inversión inicial; eficiencia ~80%</t>
  </si>
  <si>
    <t>Riego por aspersión convencional</t>
  </si>
  <si>
    <t>Riego con cañones y aspersores sobre carrete o líneas fijas</t>
  </si>
  <si>
    <t>Motobomba + red de tuberías + aspersores</t>
  </si>
  <si>
    <t>Según disponibilidad hídrica</t>
  </si>
  <si>
    <t>Eficiencia moderada; labor más intensiva</t>
  </si>
  <si>
    <t>Riego localizado</t>
  </si>
  <si>
    <t>Riego por goteo superficial</t>
  </si>
  <si>
    <t>Cintas o goteros a nivel superficial (horticultura/maíz)</t>
  </si>
  <si>
    <t>Bomba + filtros + cintas de goteo</t>
  </si>
  <si>
    <t>Todo el ciclo</t>
  </si>
  <si>
    <t>Alta eficiencia &gt;90%; amortización en varios años</t>
  </si>
  <si>
    <t>Riego gravitacional</t>
  </si>
  <si>
    <t>Riego por surcos / melgas</t>
  </si>
  <si>
    <t>Riego por gravedad en lotes con pendiente uniforme</t>
  </si>
  <si>
    <t>Infraestructura de acequias y compuertas</t>
  </si>
  <si>
    <t>Según disponibilidad</t>
  </si>
  <si>
    <t>Menor costo de operación; requiere nivelación</t>
  </si>
  <si>
    <t>Mantenimiento</t>
  </si>
  <si>
    <t>Mantenimiento sistema de riego</t>
  </si>
  <si>
    <t>Revisión y reparación de equipos, cañerías, bombas</t>
  </si>
  <si>
    <t>Operario + herramientas / servicio técnico</t>
  </si>
  <si>
    <t>$/año</t>
  </si>
  <si>
    <t>Entrezafra</t>
  </si>
  <si>
    <t>Incluir costos fijos de amortización</t>
  </si>
  <si>
    <t>▶  CONTROL MECÁNICO / CULTURAL</t>
  </si>
  <si>
    <t>CONTROL MECÁNICO / CULTURAL</t>
  </si>
  <si>
    <t>Cultivo en línea</t>
  </si>
  <si>
    <t>Escardillo / cultivador de líneas</t>
  </si>
  <si>
    <t>Cultivación mecánica entre hileras para control de malezas</t>
  </si>
  <si>
    <t>Tractor 80-100 HP + cultivador de líneas</t>
  </si>
  <si>
    <t>Post-emergencia (V2-V4)</t>
  </si>
  <si>
    <t>Complemento a herbicidas; riesgo de daño radicular</t>
  </si>
  <si>
    <t>Deshidratación</t>
  </si>
  <si>
    <t>Hilerado de forraje (andanadoras)</t>
  </si>
  <si>
    <t>Formación de hileras para secado de forraje cortado</t>
  </si>
  <si>
    <t>Tractor 80 HP + hileradora lateral/central</t>
  </si>
  <si>
    <t>4-8 ha/h</t>
  </si>
  <si>
    <t>Post-corte</t>
  </si>
  <si>
    <t>Reduce tiempo de secado</t>
  </si>
  <si>
    <t>Control cultural</t>
  </si>
  <si>
    <t>Manejo de cobertura con rolo</t>
  </si>
  <si>
    <t>Aplastado de cobertura antes de siembra directa</t>
  </si>
  <si>
    <t>Control mecánico de malezas en SD</t>
  </si>
  <si>
    <t>Pastoreo</t>
  </si>
  <si>
    <t>Pastoreo controlado / diferido</t>
  </si>
  <si>
    <t>Manejo del pastoreo de forrajes con alambrado eléctrico</t>
  </si>
  <si>
    <t>Mano de obra + infraestructura alambrado</t>
  </si>
  <si>
    <t>Control de altura de pastoreo; carga animal correcta</t>
  </si>
  <si>
    <t>▶  COSECHA Y POSTCOSECHA</t>
  </si>
  <si>
    <t>COSECHA Y POSTCOSECHA</t>
  </si>
  <si>
    <t>Cosecha directa</t>
  </si>
  <si>
    <t>Cosecha de soja</t>
  </si>
  <si>
    <t>Trilla directa con cabezal de soja y plataforma flexible</t>
  </si>
  <si>
    <t>Cosechadora autoprop. &gt;300 HP + cabezal 30-40 pies</t>
  </si>
  <si>
    <t>$/ha / $/Tn</t>
  </si>
  <si>
    <t>Humedad cosecha: 13-14%; ajuste de pérdidas</t>
  </si>
  <si>
    <t>Cosecha de maíz</t>
  </si>
  <si>
    <t>Cosecha con cabezal maicero (snapper)</t>
  </si>
  <si>
    <t>Cosechadora autoprop. &gt;300 HP + cabezal 8-12 surcos</t>
  </si>
  <si>
    <t>8-15 ha/h</t>
  </si>
  <si>
    <t>Humedad: 14-18% con secada; 13% sin secada</t>
  </si>
  <si>
    <t>Cosecha de girasol</t>
  </si>
  <si>
    <t>Cosecha con cabezal girasol o adaptador</t>
  </si>
  <si>
    <t>Cosechadora autoprop. &gt;250 HP + cabezal girasol</t>
  </si>
  <si>
    <t>8-14 ha/h</t>
  </si>
  <si>
    <t>Regular deflectores; evitar pérdidas por vuelco</t>
  </si>
  <si>
    <t>Cosecha de trigo</t>
  </si>
  <si>
    <t>Cosecha directa de trigo con plataforma de cereales</t>
  </si>
  <si>
    <t>Cosechadora autoprop. &gt;250 HP + plataforma 25-35 pies</t>
  </si>
  <si>
    <t>12-25 ha/h</t>
  </si>
  <si>
    <t>Humedad: 13.5%; regular altura de corte</t>
  </si>
  <si>
    <t>Cosecha de sorgo granífero</t>
  </si>
  <si>
    <t>Cosecha de sorgo con plataforma cereal</t>
  </si>
  <si>
    <t>Cosechadora autoprop. &gt;250 HP + plataforma</t>
  </si>
  <si>
    <t>10-18 ha/h</t>
  </si>
  <si>
    <t>Cuidado con humedad elevada</t>
  </si>
  <si>
    <t>Cosecha de forraje</t>
  </si>
  <si>
    <t>Corte de forraje (heno/silaje)</t>
  </si>
  <si>
    <t>Corte de pasturas o verdeos para henificación o ensilaje</t>
  </si>
  <si>
    <t>Tractor 100-120 HP + segadora-acondicionadora</t>
  </si>
  <si>
    <t>Primavera-otoño</t>
  </si>
  <si>
    <t>Corte en estadío óptimo de calidad</t>
  </si>
  <si>
    <t>Rotoenfardado</t>
  </si>
  <si>
    <t>Formación de rollos de pasto seco (hay)</t>
  </si>
  <si>
    <t>Tractor 100 HP + rotoenfardadora 1.20-1.50 m</t>
  </si>
  <si>
    <t>$/rollo / $/Tn</t>
  </si>
  <si>
    <t>Post-hilerado</t>
  </si>
  <si>
    <t>Humedad: &lt;18% para evitar pérdidas por calor</t>
  </si>
  <si>
    <t>Picado de forraje para silaje</t>
  </si>
  <si>
    <t>Confección de silaje de maíz, sorgo, pasturas</t>
  </si>
  <si>
    <t>Picadora autoprop. + camiones volcadores</t>
  </si>
  <si>
    <t>$/Tn</t>
  </si>
  <si>
    <t>Maíz: 1/3 leche; sorgo: 30% MS</t>
  </si>
  <si>
    <t>Densidad compactación: &gt;600 kg MS/m³</t>
  </si>
  <si>
    <t>Embolsado de silaje</t>
  </si>
  <si>
    <t>Embolsado de picado en silo bolsa</t>
  </si>
  <si>
    <t>Embolsadora + tractor 120 HP</t>
  </si>
  <si>
    <t>Inmediato al picado</t>
  </si>
  <si>
    <t>Monitorear hermetismo de bolsa</t>
  </si>
  <si>
    <t>Postcosecha</t>
  </si>
  <si>
    <t>Secado de grano (en planta)</t>
  </si>
  <si>
    <t>Secado artificial de maíz y soja en silo-secadora</t>
  </si>
  <si>
    <t>Secadora de columna o continua (gas / gasoil)</t>
  </si>
  <si>
    <t>$/Tn por punto</t>
  </si>
  <si>
    <t>Post-cosecha maíz húmedo</t>
  </si>
  <si>
    <t>Costo gas + amortización; cada punto extraído = ~1.25% peso</t>
  </si>
  <si>
    <t>Almacenamiento en silo bolsa</t>
  </si>
  <si>
    <t>Acopio de grano en bolsa plástica de 60 m</t>
  </si>
  <si>
    <t>Embolsadora granos + tractor 120 HP</t>
  </si>
  <si>
    <t>Post-cosecha</t>
  </si>
  <si>
    <t>Alternativa económica al silo fijo</t>
  </si>
  <si>
    <t>Extracción de silo bolsa</t>
  </si>
  <si>
    <t>Extracción y carga de grano desde bolsa</t>
  </si>
  <si>
    <t>Extractora + tractor + auger + camión</t>
  </si>
  <si>
    <t>Según mercado</t>
  </si>
  <si>
    <t>Limpiar bien para siguiente campaña</t>
  </si>
  <si>
    <t>Limpieza y clasificación de grano</t>
  </si>
  <si>
    <t>Pre-limpieza de grano con zaranda-aventadora</t>
  </si>
  <si>
    <t>Zaranda fija o portátil</t>
  </si>
  <si>
    <t>Elimina impurezas y granos brotados</t>
  </si>
  <si>
    <t>▶  ACONDICIONAMIENTO DE RASTROJOS</t>
  </si>
  <si>
    <t>ACONDICIONAMIENTO DE RASTROJOS</t>
  </si>
  <si>
    <t>Picado</t>
  </si>
  <si>
    <t>Picado y distribución de rastrojo de cosecha</t>
  </si>
  <si>
    <t>Picado y distribución uniforme del rastrojo post-cosecha</t>
  </si>
  <si>
    <t>Cosechadora con picador trasero + distribuidor</t>
  </si>
  <si>
    <t>Accesorio de cosechadora; distribución pareja clave</t>
  </si>
  <si>
    <t>Rolado</t>
  </si>
  <si>
    <t>Rolado de rastrojo</t>
  </si>
  <si>
    <t>Aplastado de rastrojo para manejo en SD</t>
  </si>
  <si>
    <t>Facilita próxima siembra SD</t>
  </si>
  <si>
    <t>Incorporación</t>
  </si>
  <si>
    <t>Incorporación de rastrojo con labranza</t>
  </si>
  <si>
    <t>Entierro de rastrojos con rastra o arado</t>
  </si>
  <si>
    <t>Tractor &gt;140 HP + rastra de discos pesada</t>
  </si>
  <si>
    <t>3-6 ha/h</t>
  </si>
  <si>
    <t>Sistema convencional; acelera descomposición</t>
  </si>
  <si>
    <t>Quema</t>
  </si>
  <si>
    <t>Quema controlada de rastrojo</t>
  </si>
  <si>
    <t>Quema de rastrojos en situaciones específicas (reg. provincial)</t>
  </si>
  <si>
    <t>Mano de obra + cortafuegos</t>
  </si>
  <si>
    <t>Restricciones legales en Santa Fe; evitar si posible</t>
  </si>
  <si>
    <t>▶  LABORES DE PASTURAS Y FORRAJES</t>
  </si>
  <si>
    <t>LABORES DE PASTURAS Y FORRAJES</t>
  </si>
  <si>
    <t>Implantación</t>
  </si>
  <si>
    <t>Preparación suelo para pasturas</t>
  </si>
  <si>
    <t>Labranza específica para implantación de pasturas</t>
  </si>
  <si>
    <t>Tractor 120 HP + rastra fina / vibrocultor</t>
  </si>
  <si>
    <t>Feb-Abr / Ago-Sep</t>
  </si>
  <si>
    <t>Cama fina; pH&gt;6 ideal para leguminosas</t>
  </si>
  <si>
    <t>Siembra de pastura pura o consociada</t>
  </si>
  <si>
    <t>Siembra de mezclas forrajeras en cobertura o directa</t>
  </si>
  <si>
    <t>Otoño / Primavera</t>
  </si>
  <si>
    <t>Profundidad: 1-2 cm leguminosas; 2-3 cm gramíneas</t>
  </si>
  <si>
    <t>Fertilización de mantenimiento en pasturas</t>
  </si>
  <si>
    <t>Reposición de N, P, S en pasturas implantadas</t>
  </si>
  <si>
    <t>Fertilizadora al voleo</t>
  </si>
  <si>
    <t>Post-pastoreo / primavera</t>
  </si>
  <si>
    <t>Urea + superfosfato o MAP+Azufre</t>
  </si>
  <si>
    <t>Control de malezas en pasturas</t>
  </si>
  <si>
    <t>Aplicación de herbicidas selectivos en pasturas</t>
  </si>
  <si>
    <t>Pulverizadora arrastrada / mochila</t>
  </si>
  <si>
    <t>30-50 ha/h</t>
  </si>
  <si>
    <t>Primavera</t>
  </si>
  <si>
    <t>Según maleza dominante; cuidado con leguminosas</t>
  </si>
  <si>
    <t>Aprovechamiento</t>
  </si>
  <si>
    <t>Corte de limpieza / igualación</t>
  </si>
  <si>
    <t>Corte mecánico para uniformizar altura de pastura</t>
  </si>
  <si>
    <t>Tractor 80 HP + rotativa frontal o trasera</t>
  </si>
  <si>
    <t>Post-pastoreo</t>
  </si>
  <si>
    <t>Evita encañado y mejora calidad</t>
  </si>
  <si>
    <t>Pastoreo diferido / stock en pie</t>
  </si>
  <si>
    <t>Reserva de forraje para períodos críticos</t>
  </si>
  <si>
    <t>Mano de obra + infraestructura</t>
  </si>
  <si>
    <t>Alambrado eléctrico; medir disponibilidad forrajera</t>
  </si>
  <si>
    <t>Confección de reservas forrajeras</t>
  </si>
  <si>
    <t>Heno en rollos, silaje de pastura o verdeo</t>
  </si>
  <si>
    <t>Tractor + segadora + hileradora + enfardadora</t>
  </si>
  <si>
    <t>$/Tn MS</t>
  </si>
  <si>
    <t>Primavera / otoño</t>
  </si>
  <si>
    <t>Calidad depende de momento de corte y secado</t>
  </si>
  <si>
    <t>▶  TRANSPORTE Y LOGÍSTICA</t>
  </si>
  <si>
    <t>TRANSPORTE Y LOGÍSTICA</t>
  </si>
  <si>
    <t>Flete corto</t>
  </si>
  <si>
    <t>Flete corto campo-acopio (camión)</t>
  </si>
  <si>
    <t>Transporte de grano desde campo a acopio local</t>
  </si>
  <si>
    <t>Camión tolva 25-30 Tn</t>
  </si>
  <si>
    <t>$/Tn·km</t>
  </si>
  <si>
    <t>Tarifa según distancia y tipo de grano</t>
  </si>
  <si>
    <t>Flete con acoplado propio (tractor+acoplado)</t>
  </si>
  <si>
    <t>Transporte dentro del campo o corta distancia</t>
  </si>
  <si>
    <t>Tractor + acoplado granelero 10-14 Tn</t>
  </si>
  <si>
    <t>Post-cosecha / durante campaña</t>
  </si>
  <si>
    <t>Costo propio: combustible + amortización</t>
  </si>
  <si>
    <t>Flete largo</t>
  </si>
  <si>
    <t>Flete largo a puerto (Rosario/S. Martín)</t>
  </si>
  <si>
    <t>Transporte de grano desde acopio a terminal portuaria</t>
  </si>
  <si>
    <t>Camión tolva 28-32 Tn</t>
  </si>
  <si>
    <t>~200-350 km desde zona núcleo Santa Fe</t>
  </si>
  <si>
    <t>Insumos</t>
  </si>
  <si>
    <t>Transporte de insumos a campo</t>
  </si>
  <si>
    <t>Flete de agroquímicos, semillas y fertilizantes al campo</t>
  </si>
  <si>
    <t>Camión o camioneta 4x4 + trailer</t>
  </si>
  <si>
    <t>$/viaje</t>
  </si>
  <si>
    <t>Previo a campaña</t>
  </si>
  <si>
    <t>Planificar con anticipación para descuentos</t>
  </si>
  <si>
    <t>Equipos</t>
  </si>
  <si>
    <t>Traslado de maquinaria</t>
  </si>
  <si>
    <t>Transporte de cosechadora, sembradora entre lotes o campos</t>
  </si>
  <si>
    <t>Camión cama baja + escolta</t>
  </si>
  <si>
    <t>$/km / $/traslado</t>
  </si>
  <si>
    <t>Cambios de lotes</t>
  </si>
  <si>
    <t>Requiere permiso de ruta en tramos largos</t>
  </si>
  <si>
    <t>▶  TAREAS DE APOYO Y MONITOREO</t>
  </si>
  <si>
    <t>TAREAS DE APOYO Y MONITOREO</t>
  </si>
  <si>
    <t>Monitoreo</t>
  </si>
  <si>
    <t>Monitoreo de cultivos y plagas</t>
  </si>
  <si>
    <t>Recorrida sistemática de lotes para toma de decisiones</t>
  </si>
  <si>
    <t>Personal técnico + cuadernos/apps</t>
  </si>
  <si>
    <t>$/ha / $/jornada</t>
  </si>
  <si>
    <t>Base del MIP; cada 7-10 días en período crítico</t>
  </si>
  <si>
    <t>Muestreo y análisis de suelo</t>
  </si>
  <si>
    <t>Toma de muestras y envío a laboratorio</t>
  </si>
  <si>
    <t>Muestreador + laboratorio de suelos</t>
  </si>
  <si>
    <t>$/ha / $/muestra</t>
  </si>
  <si>
    <t>1 muestra c/3-4 ha</t>
  </si>
  <si>
    <t>Pre-campaña</t>
  </si>
  <si>
    <t>Análisis: N, P, pH, MO, S, micronutrientes</t>
  </si>
  <si>
    <t>Monitoreo con drones (NDVI)</t>
  </si>
  <si>
    <t>Vuelo de dron para detección de variabilidad y stress</t>
  </si>
  <si>
    <t>Dron multispectral + software de análisis</t>
  </si>
  <si>
    <t>Identificación de lotes problema; scouting eficiente</t>
  </si>
  <si>
    <t>Planificación</t>
  </si>
  <si>
    <t>Calibración de sembradora</t>
  </si>
  <si>
    <t>Ajuste de dosificadores y profundidad de siembra</t>
  </si>
  <si>
    <t>Tractor + sembradora + técnico</t>
  </si>
  <si>
    <t>$/hora / $/evento</t>
  </si>
  <si>
    <t>Pre-siembra</t>
  </si>
  <si>
    <t>Verificar densidad real en lote cada 200 m</t>
  </si>
  <si>
    <t>Calibración de pulverizadora</t>
  </si>
  <si>
    <t>Verificación de caudal, picos y velocidad de aplicación</t>
  </si>
  <si>
    <t>Pulverizadora + técnico calibrador</t>
  </si>
  <si>
    <t>Pre-aplicación</t>
  </si>
  <si>
    <t>Norma IRAM; registro obligatorio en muchos municipios</t>
  </si>
  <si>
    <t>Registro y gestión de lotes (software)</t>
  </si>
  <si>
    <t>Carga de datos de campaña en software agronómico</t>
  </si>
  <si>
    <t>PC/tablet + software (Auravant, 55Field, etc.)</t>
  </si>
  <si>
    <t>$/ha·año / abono</t>
  </si>
  <si>
    <t>Trazabilidad; soporte a decisiones agronómicas</t>
  </si>
  <si>
    <t>Mantenimiento de maquinaria</t>
  </si>
  <si>
    <t>Service, cambio de aceites, filtros, piezas desgaste</t>
  </si>
  <si>
    <t>Taller propio / servicio oficial</t>
  </si>
  <si>
    <t>$/hora / $/equipo</t>
  </si>
  <si>
    <t>Clave para evitar paradas en campaña</t>
  </si>
  <si>
    <t>Mantenimiento de infraestructura rural</t>
  </si>
  <si>
    <t>Alambrados, caminos internos, aguadas, instalaciones</t>
  </si>
  <si>
    <t>Mano de obra + materiales</t>
  </si>
  <si>
    <t>$/jornada</t>
  </si>
  <si>
    <t>Incluir en presupuesto anual</t>
  </si>
  <si>
    <t>COSTO TOTAL DE LABORES (todas las categorías)</t>
  </si>
  <si>
    <t>PLANILLA DE COSTO DE LABORES POR CULTIVO</t>
  </si>
  <si>
    <t>CULTIVO:</t>
  </si>
  <si>
    <t>SOJA</t>
  </si>
  <si>
    <t>SUPERFICIE (ha):</t>
  </si>
  <si>
    <t>CAMPAÑA:</t>
  </si>
  <si>
    <t>2025/2026</t>
  </si>
  <si>
    <t>ETAPA CULTIVO</t>
  </si>
  <si>
    <t>LABOR</t>
  </si>
  <si>
    <t>UNIDAD</t>
  </si>
  <si>
    <t>CANT/ha</t>
  </si>
  <si>
    <t>COSTO UNIT ($)</t>
  </si>
  <si>
    <t>COSTO/ha ($)</t>
  </si>
  <si>
    <t>TOTAL ($)</t>
  </si>
  <si>
    <t>CONTRATADO</t>
  </si>
  <si>
    <t>PROPIO</t>
  </si>
  <si>
    <t>PRE-SIEMBRA</t>
  </si>
  <si>
    <t>X</t>
  </si>
  <si>
    <t>Glifosato + 2,4-D</t>
  </si>
  <si>
    <t>Análisis de suelo</t>
  </si>
  <si>
    <t>$/muestra</t>
  </si>
  <si>
    <t>1 muestra cada 3-4 ha</t>
  </si>
  <si>
    <t>Fungicida+Insecticida+Rhizobium</t>
  </si>
  <si>
    <t>Siembra directa soja</t>
  </si>
  <si>
    <t>Incluye sembradora+tractor</t>
  </si>
  <si>
    <t>Fertilización localizada P-S</t>
  </si>
  <si>
    <t>MAP o mezcla física</t>
  </si>
  <si>
    <t>POST-SIEMBRA</t>
  </si>
  <si>
    <t>Metribuzin/S-metolacloro</t>
  </si>
  <si>
    <t>POST-EMERGENCIA</t>
  </si>
  <si>
    <t>Aplicación herbicida postemergente</t>
  </si>
  <si>
    <t>Glifosato + imazetapir</t>
  </si>
  <si>
    <t>Zn + B + aminoácidos</t>
  </si>
  <si>
    <t>FLORACIÓN (R1-R2)</t>
  </si>
  <si>
    <t>Aplicación fungicida (1ª)</t>
  </si>
  <si>
    <t>Estrobilurina+Triazol</t>
  </si>
  <si>
    <t>LLENADO (R3-R5)</t>
  </si>
  <si>
    <t>Aplicación fungicida (2ª)</t>
  </si>
  <si>
    <t>Según presión enfermedades</t>
  </si>
  <si>
    <t>Según umbral chinche/oruga</t>
  </si>
  <si>
    <t>Monitoreo de cultivo</t>
  </si>
  <si>
    <t>Técnico agronómico</t>
  </si>
  <si>
    <t>MADUREZ</t>
  </si>
  <si>
    <t>Desecación pre-cosecha</t>
  </si>
  <si>
    <t>Si necesario; carencia obligatoria</t>
  </si>
  <si>
    <t>COSECHA</t>
  </si>
  <si>
    <t>Cosecha directa soja</t>
  </si>
  <si>
    <t>$/ha o $/Tn</t>
  </si>
  <si>
    <t>Cosechadora+cabezal flexible</t>
  </si>
  <si>
    <t>Embolsado en silo bolsa</t>
  </si>
  <si>
    <t>Opcional; según destino</t>
  </si>
  <si>
    <t>POSTCOSECHA</t>
  </si>
  <si>
    <t>Flete campo-acopio</t>
  </si>
  <si>
    <t>Según distancia a acopio</t>
  </si>
  <si>
    <t>Acondicionamiento rastrojo</t>
  </si>
  <si>
    <t>Rolado o distribución</t>
  </si>
  <si>
    <t>COSTO TOTAL DE LABORES</t>
  </si>
  <si>
    <t>💡  Ingrese el COSTO UNITARIO en columna E para calcular automáticamente costo/ha y total por superficie. Puede duplicar esta hoja para otros cultivos (Maíz, Trigo, Girasol, etc.)</t>
  </si>
  <si>
    <t>COMPARATIVO DE COSTOS DE LABORES POR CULTIVO</t>
  </si>
  <si>
    <t>CATEGORÍA DE LABOR</t>
  </si>
  <si>
    <t>MAÍZ TEMPRANO</t>
  </si>
  <si>
    <t>MAÍZ TARDÍO</t>
  </si>
  <si>
    <t>TRIGO</t>
  </si>
  <si>
    <t>GIRASOL</t>
  </si>
  <si>
    <t>SORGO GRANÍFERO</t>
  </si>
  <si>
    <t>ALFALFA (implant.)</t>
  </si>
  <si>
    <t>PASTURA CONSOCIADA</t>
  </si>
  <si>
    <t>Labranza / Preparación suelo</t>
  </si>
  <si>
    <t>Siembra (sembradora)</t>
  </si>
  <si>
    <t>Fertilización</t>
  </si>
  <si>
    <t>Herbicidas (aplicación)</t>
  </si>
  <si>
    <t>Fungicidas (aplicación)</t>
  </si>
  <si>
    <t>Insecticidas (aplicación)</t>
  </si>
  <si>
    <t>Riego</t>
  </si>
  <si>
    <t>Cosecha</t>
  </si>
  <si>
    <t>Transporte / flete campo</t>
  </si>
  <si>
    <t>Monitoreo / técnico</t>
  </si>
  <si>
    <t>Otros / imprevistos</t>
  </si>
  <si>
    <t>TOTAL LABORES ($/ha)</t>
  </si>
  <si>
    <t>Complete manualmente los costos por cultivo y categoría para comparar la estructura de costos entre distintos planteos productivos.</t>
  </si>
  <si>
    <t>📋  INSTRUCCIONES DE USO – LABORES AGRÍCOLAS</t>
  </si>
  <si>
    <t>🌾  HOJA 1: LABORES AGRÍCOLAS</t>
  </si>
  <si>
    <t>• Contiene el listado completo de labores organizadas por CATEGORÍA y ETAPA del cultivo</t>
  </si>
  <si>
    <t>• Columnas J y K: ingrese el costo unitario según tipo de mano de obra (PROPIO o CONTRATADO)</t>
  </si>
  <si>
    <t>• Columna L: ingrese la cantidad de hectáreas o unidades a realizar</t>
  </si>
  <si>
    <t>• La columna M (COSTO TOTAL) se calcula automáticamente</t>
  </si>
  <si>
    <t>• Use la columna COSTO CONTRATADO para servicios de terceros (contratistas)</t>
  </si>
  <si>
    <t>• Use la columna COSTO PROPIO para sus maquinarias propias (incluir amortización + combustible + M.O.)</t>
  </si>
  <si>
    <t>🌽  HOJA 2: COSTO POR CULTIVO</t>
  </si>
  <si>
    <t>• Planilla modelo para SOJA; puede duplicar la hoja para cada cultivo que produzca</t>
  </si>
  <si>
    <t>• Ingrese el cultivo, superficie y campaña en las celdas amarillas (B2, E2, H2)</t>
  </si>
  <si>
    <t>• Columna E: ingrese el costo unitario de cada labor</t>
  </si>
  <si>
    <t>• Las columnas Costo/ha y Total se calculan automáticamente según la superficie ingresada</t>
  </si>
  <si>
    <t>• Marque X en CONTRATADO o PROPIO para identificar el origen del costo</t>
  </si>
  <si>
    <t>📊  HOJA 3: RESUMEN COMPARATIVO</t>
  </si>
  <si>
    <t>• Permite comparar la estructura de costos de labores entre distintos cultivos</t>
  </si>
  <si>
    <t>• Complete los valores por categoría para cada cultivo</t>
  </si>
  <si>
    <t>• Útil para análisis de márgenes brutos y planificación de campaña</t>
  </si>
  <si>
    <t>💡  CONSEJOS PRÁCTICOS</t>
  </si>
  <si>
    <t>• El COSTO PROPIO debe incluir: combustible + lubricantes + repuestos + mano de obra + amortización de maquinaria</t>
  </si>
  <si>
    <t>• El COSTO CONTRATADO es la tarifa del contratista (generalmente en $/ha o $/Tn)</t>
  </si>
  <si>
    <t>• Compare ambos costos para decidir si conviene tercerizar o no cada labor</t>
  </si>
  <si>
    <t>• Actualice los precios al inicio de cada campaña (valores en $ corrientes o USD según prefiera)</t>
  </si>
  <si>
    <t>• Zona de referencia: Santa Fe, Argentina – Núcleo Sojero / Pampa Húmeda</t>
  </si>
  <si>
    <t>• Fuentes de referencia para costos: INTA, Márgenes Agropecuarios, Agrocontratistas.com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</si>
</sst>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E342E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0"/>
      <color rgb="FF000000"/>
      <name val="Arial"/>
    </font>
    <font>
      <b/>
      <sz val="11"/>
      <color rgb="FF0D47A1"/>
      <name val="Arial"/>
    </font>
    <font>
      <i/>
      <sz val="9"/>
      <color rgb="FF1B5E20"/>
      <name val="Arial"/>
    </font>
    <font>
      <i/>
      <sz val="9"/>
      <color rgb="FF0D47A1"/>
      <name val="Arial"/>
    </font>
    <font>
      <b/>
      <sz val="11"/>
      <color rgb="FF6D4C41"/>
      <name val="Arial"/>
    </font>
    <font>
      <sz val="10"/>
      <color rgb="FF000000"/>
      <name val="Arial"/>
    </font>
  </fonts>
  <fills count="28">
    <fill>
      <patternFill patternType="none"/>
    </fill>
    <fill>
      <patternFill patternType="gray125"/>
    </fill>
    <fill>
      <patternFill patternType="solid">
        <fgColor rgb="FF4E342E"/>
      </patternFill>
    </fill>
    <fill>
      <patternFill patternType="solid">
        <fgColor rgb="FFEFEBE9"/>
      </patternFill>
    </fill>
    <fill>
      <patternFill patternType="solid">
        <fgColor rgb="FF6D4C41"/>
      </patternFill>
    </fill>
    <fill>
      <patternFill patternType="solid">
        <fgColor rgb="FF3E2723"/>
      </patternFill>
    </fill>
    <fill>
      <patternFill patternType="solid">
        <fgColor rgb="FFFFFFFF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006064"/>
      </patternFill>
    </fill>
    <fill>
      <patternFill patternType="solid">
        <fgColor rgb="FFE0F7FA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F57F17"/>
      </patternFill>
    </fill>
    <fill>
      <patternFill patternType="solid">
        <fgColor rgb="FFFFFDE7"/>
      </patternFill>
    </fill>
    <fill>
      <patternFill patternType="solid">
        <fgColor rgb="FF004D40"/>
      </patternFill>
    </fill>
    <fill>
      <patternFill patternType="solid">
        <fgColor rgb="FFE0F2F1"/>
      </patternFill>
    </fill>
    <fill>
      <patternFill patternType="solid">
        <fgColor rgb="FF558B2F"/>
      </patternFill>
    </fill>
    <fill>
      <patternFill patternType="solid">
        <fgColor rgb="FFF9FBE7"/>
      </patternFill>
    </fill>
    <fill>
      <patternFill patternType="solid">
        <fgColor rgb="FF37474F"/>
      </patternFill>
    </fill>
    <fill>
      <patternFill patternType="solid">
        <fgColor rgb="FFECEFF1"/>
      </patternFill>
    </fill>
    <fill>
      <patternFill patternType="solid">
        <fgColor rgb="FFFBE9E7"/>
      </patternFill>
    </fill>
    <fill>
      <patternFill patternType="solid">
        <fgColor rgb="FFFFF9C4"/>
      </patternFill>
    </fill>
    <fill>
      <patternFill patternType="solid">
        <fgColor rgb="FF2E7D32"/>
      </patternFill>
    </fill>
  </fills>
  <borders count="1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3E2723"/>
      </left>
      <right style="medium">
        <color rgb="FF3E2723"/>
      </right>
      <top style="medium">
        <color rgb="FF3E2723"/>
      </top>
      <bottom style="medium">
        <color rgb="FF3E2723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medium">
        <color rgb="FFE65100"/>
      </left>
      <right style="medium">
        <color rgb="FFE65100"/>
      </right>
      <top style="medium">
        <color rgb="FFE65100"/>
      </top>
      <bottom style="medium">
        <color rgb="FFE65100"/>
      </bottom>
      <diagonal/>
    </border>
    <border>
      <left style="medium">
        <color rgb="FF0D47A1"/>
      </left>
      <right style="medium">
        <color rgb="FF0D47A1"/>
      </right>
      <top style="medium">
        <color rgb="FF0D47A1"/>
      </top>
      <bottom style="medium">
        <color rgb="FF0D47A1"/>
      </bottom>
      <diagonal/>
    </border>
    <border>
      <left style="medium">
        <color rgb="FF006064"/>
      </left>
      <right style="medium">
        <color rgb="FF006064"/>
      </right>
      <top style="medium">
        <color rgb="FF006064"/>
      </top>
      <bottom style="medium">
        <color rgb="FF006064"/>
      </bottom>
      <diagonal/>
    </border>
    <border>
      <left style="medium">
        <color rgb="FF4A148C"/>
      </left>
      <right style="medium">
        <color rgb="FF4A148C"/>
      </right>
      <top style="medium">
        <color rgb="FF4A148C"/>
      </top>
      <bottom style="medium">
        <color rgb="FF4A148C"/>
      </bottom>
      <diagonal/>
    </border>
    <border>
      <left style="medium">
        <color rgb="FFF57F17"/>
      </left>
      <right style="medium">
        <color rgb="FFF57F17"/>
      </right>
      <top style="medium">
        <color rgb="FFF57F17"/>
      </top>
      <bottom style="medium">
        <color rgb="FFF57F17"/>
      </bottom>
      <diagonal/>
    </border>
    <border>
      <left style="medium">
        <color rgb="FF004D40"/>
      </left>
      <right style="medium">
        <color rgb="FF004D40"/>
      </right>
      <top style="medium">
        <color rgb="FF004D40"/>
      </top>
      <bottom style="medium">
        <color rgb="FF004D40"/>
      </bottom>
      <diagonal/>
    </border>
    <border>
      <left style="medium">
        <color rgb="FF558B2F"/>
      </left>
      <right style="medium">
        <color rgb="FF558B2F"/>
      </right>
      <top style="medium">
        <color rgb="FF558B2F"/>
      </top>
      <bottom style="medium">
        <color rgb="FF558B2F"/>
      </bottom>
      <diagonal/>
    </border>
    <border>
      <left style="medium">
        <color rgb="FF37474F"/>
      </left>
      <right style="medium">
        <color rgb="FF37474F"/>
      </right>
      <top style="medium">
        <color rgb="FF37474F"/>
      </top>
      <bottom style="medium">
        <color rgb="FF37474F"/>
      </bottom>
      <diagonal/>
    </border>
    <border>
      <left style="medium">
        <color rgb="FF6D4C41"/>
      </left>
      <right style="medium">
        <color rgb="FF6D4C41"/>
      </right>
      <top style="medium">
        <color rgb="FF6D4C41"/>
      </top>
      <bottom style="medium">
        <color rgb="FF6D4C4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left" vertical="center"/>
    </xf>
    <xf numFmtId="4" fontId="5" fillId="3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left" vertical="center"/>
    </xf>
    <xf numFmtId="4" fontId="5" fillId="6" borderId="1" xfId="0" applyNumberFormat="1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left" vertical="center"/>
    </xf>
    <xf numFmtId="4" fontId="5" fillId="8" borderId="1" xfId="0" applyNumberFormat="1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164" fontId="5" fillId="10" borderId="1" xfId="0" applyNumberFormat="1" applyFont="1" applyFill="1" applyBorder="1" applyAlignment="1">
      <alignment horizontal="left" vertical="center"/>
    </xf>
    <xf numFmtId="4" fontId="5" fillId="10" borderId="1" xfId="0" applyNumberFormat="1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164" fontId="5" fillId="12" borderId="1" xfId="0" applyNumberFormat="1" applyFont="1" applyFill="1" applyBorder="1" applyAlignment="1">
      <alignment horizontal="left" vertical="center"/>
    </xf>
    <xf numFmtId="4" fontId="5" fillId="12" borderId="1" xfId="0" applyNumberFormat="1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164" fontId="5" fillId="14" borderId="1" xfId="0" applyNumberFormat="1" applyFont="1" applyFill="1" applyBorder="1" applyAlignment="1">
      <alignment horizontal="left" vertical="center"/>
    </xf>
    <xf numFmtId="4" fontId="5" fillId="14" borderId="1" xfId="0" applyNumberFormat="1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164" fontId="5" fillId="16" borderId="1" xfId="0" applyNumberFormat="1" applyFont="1" applyFill="1" applyBorder="1" applyAlignment="1">
      <alignment horizontal="left" vertical="center"/>
    </xf>
    <xf numFmtId="4" fontId="5" fillId="16" borderId="1" xfId="0" applyNumberFormat="1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/>
    </xf>
    <xf numFmtId="164" fontId="5" fillId="18" borderId="1" xfId="0" applyNumberFormat="1" applyFont="1" applyFill="1" applyBorder="1" applyAlignment="1">
      <alignment horizontal="left" vertical="center"/>
    </xf>
    <xf numFmtId="4" fontId="5" fillId="18" borderId="1" xfId="0" applyNumberFormat="1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left" vertical="center"/>
    </xf>
    <xf numFmtId="164" fontId="5" fillId="20" borderId="1" xfId="0" applyNumberFormat="1" applyFont="1" applyFill="1" applyBorder="1" applyAlignment="1">
      <alignment horizontal="left" vertical="center"/>
    </xf>
    <xf numFmtId="4" fontId="5" fillId="20" borderId="1" xfId="0" applyNumberFormat="1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left" vertical="center"/>
    </xf>
    <xf numFmtId="164" fontId="5" fillId="22" borderId="1" xfId="0" applyNumberFormat="1" applyFont="1" applyFill="1" applyBorder="1" applyAlignment="1">
      <alignment horizontal="left" vertical="center"/>
    </xf>
    <xf numFmtId="4" fontId="5" fillId="22" borderId="1" xfId="0" applyNumberFormat="1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left" vertical="center"/>
    </xf>
    <xf numFmtId="164" fontId="5" fillId="24" borderId="1" xfId="0" applyNumberFormat="1" applyFont="1" applyFill="1" applyBorder="1" applyAlignment="1">
      <alignment horizontal="left" vertical="center"/>
    </xf>
    <xf numFmtId="4" fontId="5" fillId="24" borderId="1" xfId="0" applyNumberFormat="1" applyFont="1" applyFill="1" applyBorder="1" applyAlignment="1">
      <alignment horizontal="left" vertical="center"/>
    </xf>
    <xf numFmtId="0" fontId="5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left" vertical="center"/>
    </xf>
    <xf numFmtId="164" fontId="5" fillId="25" borderId="1" xfId="0" applyNumberFormat="1" applyFont="1" applyFill="1" applyBorder="1" applyAlignment="1">
      <alignment horizontal="left" vertical="center"/>
    </xf>
    <xf numFmtId="4" fontId="5" fillId="25" borderId="1" xfId="0" applyNumberFormat="1" applyFont="1" applyFill="1" applyBorder="1" applyAlignment="1">
      <alignment horizontal="left" vertical="center"/>
    </xf>
    <xf numFmtId="164" fontId="6" fillId="2" borderId="0" xfId="0" applyNumberFormat="1" applyFont="1" applyFill="1"/>
    <xf numFmtId="0" fontId="0" fillId="2" borderId="0" xfId="0" applyFill="1"/>
    <xf numFmtId="0" fontId="8" fillId="0" borderId="0" xfId="0" applyFont="1"/>
    <xf numFmtId="0" fontId="9" fillId="26" borderId="12" xfId="0" applyFont="1" applyFill="1" applyBorder="1"/>
    <xf numFmtId="3" fontId="9" fillId="26" borderId="12" xfId="0" applyNumberFormat="1" applyFont="1" applyFill="1" applyBorder="1"/>
    <xf numFmtId="0" fontId="3" fillId="27" borderId="1" xfId="0" applyFont="1" applyFill="1" applyBorder="1" applyAlignment="1">
      <alignment horizontal="center" vertical="center" wrapText="1"/>
    </xf>
    <xf numFmtId="164" fontId="6" fillId="7" borderId="0" xfId="0" applyNumberFormat="1" applyFont="1" applyFill="1"/>
    <xf numFmtId="0" fontId="0" fillId="7" borderId="0" xfId="0" applyFill="1"/>
    <xf numFmtId="0" fontId="3" fillId="11" borderId="1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164" fontId="5" fillId="6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/>
    <xf numFmtId="164" fontId="5" fillId="1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center" vertical="center"/>
    </xf>
    <xf numFmtId="0" fontId="4" fillId="17" borderId="8" xfId="0" applyFont="1" applyFill="1" applyBorder="1" applyAlignment="1">
      <alignment horizontal="left" vertical="center"/>
    </xf>
    <xf numFmtId="0" fontId="0" fillId="0" borderId="0" xfId="0"/>
    <xf numFmtId="0" fontId="4" fillId="19" borderId="9" xfId="0" applyFont="1" applyFill="1" applyBorder="1" applyAlignment="1">
      <alignment horizontal="left" vertical="center"/>
    </xf>
    <xf numFmtId="0" fontId="4" fillId="23" borderId="11" xfId="0" applyFont="1" applyFill="1" applyBorder="1" applyAlignment="1">
      <alignment horizontal="left" vertical="center"/>
    </xf>
    <xf numFmtId="0" fontId="4" fillId="11" borderId="5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9" borderId="4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15" borderId="7" xfId="0" applyFont="1" applyFill="1" applyBorder="1" applyAlignment="1">
      <alignment horizontal="left" vertical="center"/>
    </xf>
    <xf numFmtId="0" fontId="4" fillId="13" borderId="6" xfId="0" applyFont="1" applyFill="1" applyBorder="1" applyAlignment="1">
      <alignment horizontal="left" vertical="center"/>
    </xf>
    <xf numFmtId="0" fontId="4" fillId="21" borderId="10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0" fillId="8" borderId="0" xfId="0" applyFont="1" applyFill="1"/>
    <xf numFmtId="0" fontId="11" fillId="12" borderId="0" xfId="0" applyFont="1" applyFill="1"/>
    <xf numFmtId="0" fontId="7" fillId="11" borderId="0" xfId="0" applyFont="1" applyFill="1" applyAlignment="1">
      <alignment horizontal="center" vertical="center"/>
    </xf>
    <xf numFmtId="0" fontId="13" fillId="0" borderId="0" xfId="0" applyFont="1"/>
    <xf numFmtId="0" fontId="1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E342E"/>
  </sheetPr>
  <dimension ref="A1:N98"/>
  <sheetViews>
    <sheetView tabSelected="1" workbookViewId="0">
      <pane ySplit="3" topLeftCell="A4" activePane="bottomLeft" state="frozen"/>
      <selection pane="bottomLeft" sqref="A1:N1"/>
    </sheetView>
  </sheetViews>
  <sheetFormatPr baseColWidth="10" defaultColWidth="8.7265625" defaultRowHeight="14.5" x14ac:dyDescent="0.35"/>
  <cols>
    <col min="1" max="1" width="5" customWidth="1"/>
    <col min="2" max="2" width="32.26953125" customWidth="1"/>
    <col min="3" max="3" width="22" customWidth="1"/>
    <col min="4" max="4" width="30" customWidth="1"/>
    <col min="5" max="5" width="45.08984375" customWidth="1"/>
    <col min="6" max="6" width="32" customWidth="1"/>
    <col min="7" max="7" width="16" customWidth="1"/>
    <col min="8" max="9" width="18" customWidth="1"/>
    <col min="10" max="10" width="16" customWidth="1"/>
    <col min="11" max="11" width="18" customWidth="1"/>
    <col min="12" max="12" width="16" customWidth="1"/>
    <col min="13" max="13" width="15" customWidth="1"/>
    <col min="14" max="14" width="28" customWidth="1"/>
  </cols>
  <sheetData>
    <row r="1" spans="1:14" ht="32" customHeight="1" x14ac:dyDescent="0.35">
      <c r="A1" s="79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x14ac:dyDescent="0.35">
      <c r="A2" s="73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 ht="36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ht="20" customHeight="1" x14ac:dyDescent="0.35">
      <c r="A4" s="70" t="s">
        <v>16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</row>
    <row r="5" spans="1:14" x14ac:dyDescent="0.35">
      <c r="A5" s="2">
        <v>1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2" t="s">
        <v>22</v>
      </c>
      <c r="H5" s="2" t="s">
        <v>23</v>
      </c>
      <c r="I5" s="2" t="s">
        <v>24</v>
      </c>
      <c r="J5" s="4"/>
      <c r="K5" s="4"/>
      <c r="L5" s="5"/>
      <c r="M5" s="4" t="str">
        <f t="shared" ref="M5:M13" si="0">IF(OR(J5&gt;0,K5&gt;0),IF(K5&gt;0,K5,J5)*IF(L5&gt;0,L5,1),"")</f>
        <v/>
      </c>
      <c r="N5" s="3" t="s">
        <v>25</v>
      </c>
    </row>
    <row r="6" spans="1:14" x14ac:dyDescent="0.35">
      <c r="A6" s="6">
        <v>2</v>
      </c>
      <c r="B6" s="7" t="s">
        <v>17</v>
      </c>
      <c r="C6" s="7" t="s">
        <v>18</v>
      </c>
      <c r="D6" s="7" t="s">
        <v>26</v>
      </c>
      <c r="E6" s="7" t="s">
        <v>27</v>
      </c>
      <c r="F6" s="7" t="s">
        <v>28</v>
      </c>
      <c r="G6" s="6" t="s">
        <v>22</v>
      </c>
      <c r="H6" s="6" t="s">
        <v>29</v>
      </c>
      <c r="I6" s="6" t="s">
        <v>30</v>
      </c>
      <c r="J6" s="8"/>
      <c r="K6" s="8"/>
      <c r="L6" s="9"/>
      <c r="M6" s="8" t="str">
        <f t="shared" si="0"/>
        <v/>
      </c>
      <c r="N6" s="7" t="s">
        <v>31</v>
      </c>
    </row>
    <row r="7" spans="1:14" x14ac:dyDescent="0.35">
      <c r="A7" s="2">
        <v>3</v>
      </c>
      <c r="B7" s="3" t="s">
        <v>17</v>
      </c>
      <c r="C7" s="3" t="s">
        <v>18</v>
      </c>
      <c r="D7" s="3" t="s">
        <v>32</v>
      </c>
      <c r="E7" s="3" t="s">
        <v>33</v>
      </c>
      <c r="F7" s="3" t="s">
        <v>34</v>
      </c>
      <c r="G7" s="2" t="s">
        <v>22</v>
      </c>
      <c r="H7" s="2" t="s">
        <v>35</v>
      </c>
      <c r="I7" s="2" t="s">
        <v>30</v>
      </c>
      <c r="J7" s="4"/>
      <c r="K7" s="4"/>
      <c r="L7" s="5"/>
      <c r="M7" s="4" t="str">
        <f t="shared" si="0"/>
        <v/>
      </c>
      <c r="N7" s="3" t="s">
        <v>36</v>
      </c>
    </row>
    <row r="8" spans="1:14" x14ac:dyDescent="0.35">
      <c r="A8" s="6">
        <v>4</v>
      </c>
      <c r="B8" s="7" t="s">
        <v>17</v>
      </c>
      <c r="C8" s="7" t="s">
        <v>37</v>
      </c>
      <c r="D8" s="7" t="s">
        <v>38</v>
      </c>
      <c r="E8" s="7" t="s">
        <v>39</v>
      </c>
      <c r="F8" s="7" t="s">
        <v>40</v>
      </c>
      <c r="G8" s="6" t="s">
        <v>22</v>
      </c>
      <c r="H8" s="6" t="s">
        <v>41</v>
      </c>
      <c r="I8" s="6" t="s">
        <v>42</v>
      </c>
      <c r="J8" s="8"/>
      <c r="K8" s="8"/>
      <c r="L8" s="9"/>
      <c r="M8" s="8" t="str">
        <f t="shared" si="0"/>
        <v/>
      </c>
      <c r="N8" s="7" t="s">
        <v>43</v>
      </c>
    </row>
    <row r="9" spans="1:14" x14ac:dyDescent="0.35">
      <c r="A9" s="2">
        <v>5</v>
      </c>
      <c r="B9" s="3" t="s">
        <v>17</v>
      </c>
      <c r="C9" s="3" t="s">
        <v>37</v>
      </c>
      <c r="D9" s="3" t="s">
        <v>44</v>
      </c>
      <c r="E9" s="3" t="s">
        <v>45</v>
      </c>
      <c r="F9" s="3" t="s">
        <v>46</v>
      </c>
      <c r="G9" s="2" t="s">
        <v>22</v>
      </c>
      <c r="H9" s="2" t="s">
        <v>47</v>
      </c>
      <c r="I9" s="2" t="s">
        <v>42</v>
      </c>
      <c r="J9" s="4"/>
      <c r="K9" s="4"/>
      <c r="L9" s="5"/>
      <c r="M9" s="4" t="str">
        <f t="shared" si="0"/>
        <v/>
      </c>
      <c r="N9" s="3" t="s">
        <v>48</v>
      </c>
    </row>
    <row r="10" spans="1:14" x14ac:dyDescent="0.35">
      <c r="A10" s="6">
        <v>6</v>
      </c>
      <c r="B10" s="7" t="s">
        <v>17</v>
      </c>
      <c r="C10" s="7" t="s">
        <v>37</v>
      </c>
      <c r="D10" s="7" t="s">
        <v>49</v>
      </c>
      <c r="E10" s="7" t="s">
        <v>50</v>
      </c>
      <c r="F10" s="7" t="s">
        <v>51</v>
      </c>
      <c r="G10" s="6" t="s">
        <v>22</v>
      </c>
      <c r="H10" s="6" t="s">
        <v>52</v>
      </c>
      <c r="I10" s="6" t="s">
        <v>53</v>
      </c>
      <c r="J10" s="8"/>
      <c r="K10" s="8"/>
      <c r="L10" s="9"/>
      <c r="M10" s="8" t="str">
        <f t="shared" si="0"/>
        <v/>
      </c>
      <c r="N10" s="7" t="s">
        <v>54</v>
      </c>
    </row>
    <row r="11" spans="1:14" x14ac:dyDescent="0.35">
      <c r="A11" s="2">
        <v>7</v>
      </c>
      <c r="B11" s="3" t="s">
        <v>17</v>
      </c>
      <c r="C11" s="3" t="s">
        <v>37</v>
      </c>
      <c r="D11" s="3" t="s">
        <v>55</v>
      </c>
      <c r="E11" s="3" t="s">
        <v>56</v>
      </c>
      <c r="F11" s="3" t="s">
        <v>57</v>
      </c>
      <c r="G11" s="2" t="s">
        <v>22</v>
      </c>
      <c r="H11" s="2" t="s">
        <v>58</v>
      </c>
      <c r="I11" s="2" t="s">
        <v>42</v>
      </c>
      <c r="J11" s="4"/>
      <c r="K11" s="4"/>
      <c r="L11" s="5"/>
      <c r="M11" s="4" t="str">
        <f t="shared" si="0"/>
        <v/>
      </c>
      <c r="N11" s="3" t="s">
        <v>59</v>
      </c>
    </row>
    <row r="12" spans="1:14" x14ac:dyDescent="0.35">
      <c r="A12" s="6">
        <v>8</v>
      </c>
      <c r="B12" s="7" t="s">
        <v>17</v>
      </c>
      <c r="C12" s="7" t="s">
        <v>60</v>
      </c>
      <c r="D12" s="7" t="s">
        <v>61</v>
      </c>
      <c r="E12" s="7" t="s">
        <v>62</v>
      </c>
      <c r="F12" s="7" t="s">
        <v>63</v>
      </c>
      <c r="G12" s="6" t="s">
        <v>22</v>
      </c>
      <c r="H12" s="6" t="s">
        <v>64</v>
      </c>
      <c r="I12" s="6" t="s">
        <v>42</v>
      </c>
      <c r="J12" s="8"/>
      <c r="K12" s="8"/>
      <c r="L12" s="9"/>
      <c r="M12" s="8" t="str">
        <f t="shared" si="0"/>
        <v/>
      </c>
      <c r="N12" s="7" t="s">
        <v>65</v>
      </c>
    </row>
    <row r="13" spans="1:14" x14ac:dyDescent="0.35">
      <c r="A13" s="2">
        <v>9</v>
      </c>
      <c r="B13" s="3" t="s">
        <v>17</v>
      </c>
      <c r="C13" s="3" t="s">
        <v>60</v>
      </c>
      <c r="D13" s="3" t="s">
        <v>66</v>
      </c>
      <c r="E13" s="3" t="s">
        <v>67</v>
      </c>
      <c r="F13" s="3" t="s">
        <v>68</v>
      </c>
      <c r="G13" s="2" t="s">
        <v>22</v>
      </c>
      <c r="H13" s="2" t="s">
        <v>52</v>
      </c>
      <c r="I13" s="2" t="s">
        <v>42</v>
      </c>
      <c r="J13" s="4"/>
      <c r="K13" s="4"/>
      <c r="L13" s="5"/>
      <c r="M13" s="4" t="str">
        <f t="shared" si="0"/>
        <v/>
      </c>
      <c r="N13" s="3" t="s">
        <v>69</v>
      </c>
    </row>
    <row r="14" spans="1:14" ht="20" customHeight="1" x14ac:dyDescent="0.35">
      <c r="A14" s="77" t="s">
        <v>70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</row>
    <row r="15" spans="1:14" x14ac:dyDescent="0.35">
      <c r="A15" s="10">
        <v>1</v>
      </c>
      <c r="B15" s="11" t="s">
        <v>71</v>
      </c>
      <c r="C15" s="11" t="s">
        <v>72</v>
      </c>
      <c r="D15" s="11" t="s">
        <v>73</v>
      </c>
      <c r="E15" s="11" t="s">
        <v>74</v>
      </c>
      <c r="F15" s="11" t="s">
        <v>75</v>
      </c>
      <c r="G15" s="10" t="s">
        <v>22</v>
      </c>
      <c r="H15" s="10" t="s">
        <v>52</v>
      </c>
      <c r="I15" s="10" t="s">
        <v>76</v>
      </c>
      <c r="J15" s="12"/>
      <c r="K15" s="12"/>
      <c r="L15" s="13"/>
      <c r="M15" s="12" t="str">
        <f t="shared" ref="M15:M25" si="1">IF(OR(J15&gt;0,K15&gt;0),IF(K15&gt;0,K15,J15)*IF(L15&gt;0,L15,1),"")</f>
        <v/>
      </c>
      <c r="N15" s="11" t="s">
        <v>77</v>
      </c>
    </row>
    <row r="16" spans="1:14" x14ac:dyDescent="0.35">
      <c r="A16" s="6">
        <v>2</v>
      </c>
      <c r="B16" s="7" t="s">
        <v>71</v>
      </c>
      <c r="C16" s="7" t="s">
        <v>72</v>
      </c>
      <c r="D16" s="7" t="s">
        <v>78</v>
      </c>
      <c r="E16" s="7" t="s">
        <v>79</v>
      </c>
      <c r="F16" s="7" t="s">
        <v>80</v>
      </c>
      <c r="G16" s="6" t="s">
        <v>22</v>
      </c>
      <c r="H16" s="6" t="s">
        <v>47</v>
      </c>
      <c r="I16" s="6" t="s">
        <v>81</v>
      </c>
      <c r="J16" s="8"/>
      <c r="K16" s="8"/>
      <c r="L16" s="9"/>
      <c r="M16" s="8" t="str">
        <f t="shared" si="1"/>
        <v/>
      </c>
      <c r="N16" s="7" t="s">
        <v>82</v>
      </c>
    </row>
    <row r="17" spans="1:14" x14ac:dyDescent="0.35">
      <c r="A17" s="10">
        <v>3</v>
      </c>
      <c r="B17" s="11" t="s">
        <v>71</v>
      </c>
      <c r="C17" s="11" t="s">
        <v>72</v>
      </c>
      <c r="D17" s="11" t="s">
        <v>83</v>
      </c>
      <c r="E17" s="11" t="s">
        <v>84</v>
      </c>
      <c r="F17" s="11" t="s">
        <v>85</v>
      </c>
      <c r="G17" s="10" t="s">
        <v>22</v>
      </c>
      <c r="H17" s="10" t="s">
        <v>47</v>
      </c>
      <c r="I17" s="10" t="s">
        <v>86</v>
      </c>
      <c r="J17" s="12"/>
      <c r="K17" s="12"/>
      <c r="L17" s="13"/>
      <c r="M17" s="12" t="str">
        <f t="shared" si="1"/>
        <v/>
      </c>
      <c r="N17" s="11" t="s">
        <v>87</v>
      </c>
    </row>
    <row r="18" spans="1:14" x14ac:dyDescent="0.35">
      <c r="A18" s="6">
        <v>4</v>
      </c>
      <c r="B18" s="7" t="s">
        <v>71</v>
      </c>
      <c r="C18" s="7" t="s">
        <v>72</v>
      </c>
      <c r="D18" s="7" t="s">
        <v>88</v>
      </c>
      <c r="E18" s="7" t="s">
        <v>89</v>
      </c>
      <c r="F18" s="7" t="s">
        <v>90</v>
      </c>
      <c r="G18" s="6" t="s">
        <v>22</v>
      </c>
      <c r="H18" s="6" t="s">
        <v>52</v>
      </c>
      <c r="I18" s="6" t="s">
        <v>91</v>
      </c>
      <c r="J18" s="8"/>
      <c r="K18" s="8"/>
      <c r="L18" s="9"/>
      <c r="M18" s="8" t="str">
        <f t="shared" si="1"/>
        <v/>
      </c>
      <c r="N18" s="7" t="s">
        <v>92</v>
      </c>
    </row>
    <row r="19" spans="1:14" x14ac:dyDescent="0.35">
      <c r="A19" s="10">
        <v>5</v>
      </c>
      <c r="B19" s="11" t="s">
        <v>71</v>
      </c>
      <c r="C19" s="11" t="s">
        <v>93</v>
      </c>
      <c r="D19" s="11" t="s">
        <v>94</v>
      </c>
      <c r="E19" s="11" t="s">
        <v>95</v>
      </c>
      <c r="F19" s="11" t="s">
        <v>96</v>
      </c>
      <c r="G19" s="10" t="s">
        <v>22</v>
      </c>
      <c r="H19" s="10" t="s">
        <v>47</v>
      </c>
      <c r="I19" s="10" t="s">
        <v>97</v>
      </c>
      <c r="J19" s="12"/>
      <c r="K19" s="12"/>
      <c r="L19" s="13"/>
      <c r="M19" s="12" t="str">
        <f t="shared" si="1"/>
        <v/>
      </c>
      <c r="N19" s="11" t="s">
        <v>98</v>
      </c>
    </row>
    <row r="20" spans="1:14" x14ac:dyDescent="0.35">
      <c r="A20" s="6">
        <v>6</v>
      </c>
      <c r="B20" s="7" t="s">
        <v>71</v>
      </c>
      <c r="C20" s="7" t="s">
        <v>93</v>
      </c>
      <c r="D20" s="7" t="s">
        <v>99</v>
      </c>
      <c r="E20" s="7" t="s">
        <v>100</v>
      </c>
      <c r="F20" s="7" t="s">
        <v>101</v>
      </c>
      <c r="G20" s="6" t="s">
        <v>22</v>
      </c>
      <c r="H20" s="6" t="s">
        <v>47</v>
      </c>
      <c r="I20" s="6" t="s">
        <v>97</v>
      </c>
      <c r="J20" s="8"/>
      <c r="K20" s="8"/>
      <c r="L20" s="9"/>
      <c r="M20" s="8" t="str">
        <f t="shared" si="1"/>
        <v/>
      </c>
      <c r="N20" s="7" t="s">
        <v>102</v>
      </c>
    </row>
    <row r="21" spans="1:14" x14ac:dyDescent="0.35">
      <c r="A21" s="10">
        <v>7</v>
      </c>
      <c r="B21" s="11" t="s">
        <v>71</v>
      </c>
      <c r="C21" s="11" t="s">
        <v>93</v>
      </c>
      <c r="D21" s="11" t="s">
        <v>103</v>
      </c>
      <c r="E21" s="11" t="s">
        <v>104</v>
      </c>
      <c r="F21" s="11" t="s">
        <v>105</v>
      </c>
      <c r="G21" s="10" t="s">
        <v>22</v>
      </c>
      <c r="H21" s="10" t="s">
        <v>47</v>
      </c>
      <c r="I21" s="10" t="s">
        <v>106</v>
      </c>
      <c r="J21" s="12"/>
      <c r="K21" s="12"/>
      <c r="L21" s="13"/>
      <c r="M21" s="12" t="str">
        <f t="shared" si="1"/>
        <v/>
      </c>
      <c r="N21" s="11" t="s">
        <v>107</v>
      </c>
    </row>
    <row r="22" spans="1:14" x14ac:dyDescent="0.35">
      <c r="A22" s="6">
        <v>8</v>
      </c>
      <c r="B22" s="7" t="s">
        <v>71</v>
      </c>
      <c r="C22" s="7" t="s">
        <v>108</v>
      </c>
      <c r="D22" s="7" t="s">
        <v>109</v>
      </c>
      <c r="E22" s="7" t="s">
        <v>110</v>
      </c>
      <c r="F22" s="7" t="s">
        <v>111</v>
      </c>
      <c r="G22" s="6" t="s">
        <v>22</v>
      </c>
      <c r="H22" s="6" t="s">
        <v>112</v>
      </c>
      <c r="I22" s="6" t="s">
        <v>113</v>
      </c>
      <c r="J22" s="8"/>
      <c r="K22" s="8"/>
      <c r="L22" s="9"/>
      <c r="M22" s="8" t="str">
        <f t="shared" si="1"/>
        <v/>
      </c>
      <c r="N22" s="7" t="s">
        <v>114</v>
      </c>
    </row>
    <row r="23" spans="1:14" x14ac:dyDescent="0.35">
      <c r="A23" s="10">
        <v>9</v>
      </c>
      <c r="B23" s="11" t="s">
        <v>71</v>
      </c>
      <c r="C23" s="11" t="s">
        <v>108</v>
      </c>
      <c r="D23" s="11" t="s">
        <v>115</v>
      </c>
      <c r="E23" s="11" t="s">
        <v>116</v>
      </c>
      <c r="F23" s="11" t="s">
        <v>117</v>
      </c>
      <c r="G23" s="10" t="s">
        <v>22</v>
      </c>
      <c r="H23" s="10" t="s">
        <v>41</v>
      </c>
      <c r="I23" s="10" t="s">
        <v>118</v>
      </c>
      <c r="J23" s="12"/>
      <c r="K23" s="12"/>
      <c r="L23" s="13"/>
      <c r="M23" s="12" t="str">
        <f t="shared" si="1"/>
        <v/>
      </c>
      <c r="N23" s="11" t="s">
        <v>119</v>
      </c>
    </row>
    <row r="24" spans="1:14" x14ac:dyDescent="0.35">
      <c r="A24" s="6">
        <v>10</v>
      </c>
      <c r="B24" s="7" t="s">
        <v>71</v>
      </c>
      <c r="C24" s="7" t="s">
        <v>108</v>
      </c>
      <c r="D24" s="7" t="s">
        <v>120</v>
      </c>
      <c r="E24" s="7" t="s">
        <v>121</v>
      </c>
      <c r="F24" s="7" t="s">
        <v>122</v>
      </c>
      <c r="G24" s="6" t="s">
        <v>22</v>
      </c>
      <c r="H24" s="6" t="s">
        <v>112</v>
      </c>
      <c r="I24" s="6" t="s">
        <v>118</v>
      </c>
      <c r="J24" s="8"/>
      <c r="K24" s="8"/>
      <c r="L24" s="9"/>
      <c r="M24" s="8" t="str">
        <f t="shared" si="1"/>
        <v/>
      </c>
      <c r="N24" s="7" t="s">
        <v>123</v>
      </c>
    </row>
    <row r="25" spans="1:14" x14ac:dyDescent="0.35">
      <c r="A25" s="10">
        <v>11</v>
      </c>
      <c r="B25" s="11" t="s">
        <v>71</v>
      </c>
      <c r="C25" s="11" t="s">
        <v>72</v>
      </c>
      <c r="D25" s="11" t="s">
        <v>124</v>
      </c>
      <c r="E25" s="11" t="s">
        <v>125</v>
      </c>
      <c r="F25" s="11" t="s">
        <v>126</v>
      </c>
      <c r="G25" s="10" t="s">
        <v>22</v>
      </c>
      <c r="H25" s="10" t="s">
        <v>127</v>
      </c>
      <c r="I25" s="10" t="s">
        <v>42</v>
      </c>
      <c r="J25" s="12"/>
      <c r="K25" s="12"/>
      <c r="L25" s="13"/>
      <c r="M25" s="12" t="str">
        <f t="shared" si="1"/>
        <v/>
      </c>
      <c r="N25" s="11" t="s">
        <v>128</v>
      </c>
    </row>
    <row r="26" spans="1:14" ht="20" customHeight="1" x14ac:dyDescent="0.35">
      <c r="A26" s="72" t="s">
        <v>129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</row>
    <row r="27" spans="1:14" x14ac:dyDescent="0.35">
      <c r="A27" s="14">
        <v>1</v>
      </c>
      <c r="B27" s="15" t="s">
        <v>130</v>
      </c>
      <c r="C27" s="15" t="s">
        <v>131</v>
      </c>
      <c r="D27" s="15" t="s">
        <v>132</v>
      </c>
      <c r="E27" s="15" t="s">
        <v>133</v>
      </c>
      <c r="F27" s="15" t="s">
        <v>134</v>
      </c>
      <c r="G27" s="14" t="s">
        <v>22</v>
      </c>
      <c r="H27" s="14" t="s">
        <v>135</v>
      </c>
      <c r="I27" s="14" t="s">
        <v>42</v>
      </c>
      <c r="J27" s="16"/>
      <c r="K27" s="16"/>
      <c r="L27" s="17"/>
      <c r="M27" s="16" t="str">
        <f t="shared" ref="M27:M34" si="2">IF(OR(J27&gt;0,K27&gt;0),IF(K27&gt;0,K27,J27)*IF(L27&gt;0,L27,1),"")</f>
        <v/>
      </c>
      <c r="N27" s="15" t="s">
        <v>136</v>
      </c>
    </row>
    <row r="28" spans="1:14" x14ac:dyDescent="0.35">
      <c r="A28" s="6">
        <v>2</v>
      </c>
      <c r="B28" s="7" t="s">
        <v>130</v>
      </c>
      <c r="C28" s="7" t="s">
        <v>131</v>
      </c>
      <c r="D28" s="7" t="s">
        <v>137</v>
      </c>
      <c r="E28" s="7" t="s">
        <v>138</v>
      </c>
      <c r="F28" s="7" t="s">
        <v>134</v>
      </c>
      <c r="G28" s="6" t="s">
        <v>22</v>
      </c>
      <c r="H28" s="6" t="s">
        <v>135</v>
      </c>
      <c r="I28" s="6" t="s">
        <v>139</v>
      </c>
      <c r="J28" s="8"/>
      <c r="K28" s="8"/>
      <c r="L28" s="9"/>
      <c r="M28" s="8" t="str">
        <f t="shared" si="2"/>
        <v/>
      </c>
      <c r="N28" s="7" t="s">
        <v>140</v>
      </c>
    </row>
    <row r="29" spans="1:14" x14ac:dyDescent="0.35">
      <c r="A29" s="14">
        <v>3</v>
      </c>
      <c r="B29" s="15" t="s">
        <v>130</v>
      </c>
      <c r="C29" s="15" t="s">
        <v>141</v>
      </c>
      <c r="D29" s="15" t="s">
        <v>142</v>
      </c>
      <c r="E29" s="15" t="s">
        <v>143</v>
      </c>
      <c r="F29" s="15" t="s">
        <v>144</v>
      </c>
      <c r="G29" s="14" t="s">
        <v>22</v>
      </c>
      <c r="H29" s="14" t="s">
        <v>47</v>
      </c>
      <c r="I29" s="14" t="s">
        <v>145</v>
      </c>
      <c r="J29" s="16"/>
      <c r="K29" s="16"/>
      <c r="L29" s="17"/>
      <c r="M29" s="16" t="str">
        <f t="shared" si="2"/>
        <v/>
      </c>
      <c r="N29" s="15" t="s">
        <v>146</v>
      </c>
    </row>
    <row r="30" spans="1:14" x14ac:dyDescent="0.35">
      <c r="A30" s="6">
        <v>4</v>
      </c>
      <c r="B30" s="7" t="s">
        <v>130</v>
      </c>
      <c r="C30" s="7" t="s">
        <v>141</v>
      </c>
      <c r="D30" s="7" t="s">
        <v>147</v>
      </c>
      <c r="E30" s="7" t="s">
        <v>148</v>
      </c>
      <c r="F30" s="7" t="s">
        <v>149</v>
      </c>
      <c r="G30" s="6" t="s">
        <v>22</v>
      </c>
      <c r="H30" s="6" t="s">
        <v>58</v>
      </c>
      <c r="I30" s="6" t="s">
        <v>150</v>
      </c>
      <c r="J30" s="8"/>
      <c r="K30" s="8"/>
      <c r="L30" s="9"/>
      <c r="M30" s="8" t="str">
        <f t="shared" si="2"/>
        <v/>
      </c>
      <c r="N30" s="7" t="s">
        <v>151</v>
      </c>
    </row>
    <row r="31" spans="1:14" x14ac:dyDescent="0.35">
      <c r="A31" s="14">
        <v>5</v>
      </c>
      <c r="B31" s="15" t="s">
        <v>130</v>
      </c>
      <c r="C31" s="15" t="s">
        <v>152</v>
      </c>
      <c r="D31" s="15" t="s">
        <v>153</v>
      </c>
      <c r="E31" s="15" t="s">
        <v>154</v>
      </c>
      <c r="F31" s="15" t="s">
        <v>155</v>
      </c>
      <c r="G31" s="14" t="s">
        <v>22</v>
      </c>
      <c r="H31" s="14" t="s">
        <v>156</v>
      </c>
      <c r="I31" s="14" t="s">
        <v>157</v>
      </c>
      <c r="J31" s="16"/>
      <c r="K31" s="16"/>
      <c r="L31" s="17"/>
      <c r="M31" s="16" t="str">
        <f t="shared" si="2"/>
        <v/>
      </c>
      <c r="N31" s="15" t="s">
        <v>158</v>
      </c>
    </row>
    <row r="32" spans="1:14" x14ac:dyDescent="0.35">
      <c r="A32" s="6">
        <v>6</v>
      </c>
      <c r="B32" s="7" t="s">
        <v>130</v>
      </c>
      <c r="C32" s="7" t="s">
        <v>152</v>
      </c>
      <c r="D32" s="7" t="s">
        <v>159</v>
      </c>
      <c r="E32" s="7" t="s">
        <v>160</v>
      </c>
      <c r="F32" s="7" t="s">
        <v>161</v>
      </c>
      <c r="G32" s="6" t="s">
        <v>22</v>
      </c>
      <c r="H32" s="6" t="s">
        <v>127</v>
      </c>
      <c r="I32" s="6" t="s">
        <v>162</v>
      </c>
      <c r="J32" s="8"/>
      <c r="K32" s="8"/>
      <c r="L32" s="9"/>
      <c r="M32" s="8" t="str">
        <f t="shared" si="2"/>
        <v/>
      </c>
      <c r="N32" s="7" t="s">
        <v>163</v>
      </c>
    </row>
    <row r="33" spans="1:14" x14ac:dyDescent="0.35">
      <c r="A33" s="14">
        <v>7</v>
      </c>
      <c r="B33" s="15" t="s">
        <v>130</v>
      </c>
      <c r="C33" s="15" t="s">
        <v>164</v>
      </c>
      <c r="D33" s="15" t="s">
        <v>165</v>
      </c>
      <c r="E33" s="15" t="s">
        <v>166</v>
      </c>
      <c r="F33" s="15" t="s">
        <v>63</v>
      </c>
      <c r="G33" s="14" t="s">
        <v>22</v>
      </c>
      <c r="H33" s="14" t="s">
        <v>64</v>
      </c>
      <c r="I33" s="14" t="s">
        <v>167</v>
      </c>
      <c r="J33" s="16"/>
      <c r="K33" s="16"/>
      <c r="L33" s="17"/>
      <c r="M33" s="16" t="str">
        <f t="shared" si="2"/>
        <v/>
      </c>
      <c r="N33" s="15" t="s">
        <v>168</v>
      </c>
    </row>
    <row r="34" spans="1:14" x14ac:dyDescent="0.35">
      <c r="A34" s="6">
        <v>8</v>
      </c>
      <c r="B34" s="7" t="s">
        <v>130</v>
      </c>
      <c r="C34" s="7" t="s">
        <v>164</v>
      </c>
      <c r="D34" s="7" t="s">
        <v>169</v>
      </c>
      <c r="E34" s="7" t="s">
        <v>170</v>
      </c>
      <c r="F34" s="7" t="s">
        <v>63</v>
      </c>
      <c r="G34" s="6" t="s">
        <v>22</v>
      </c>
      <c r="H34" s="6" t="s">
        <v>64</v>
      </c>
      <c r="I34" s="6" t="s">
        <v>171</v>
      </c>
      <c r="J34" s="8"/>
      <c r="K34" s="8"/>
      <c r="L34" s="9"/>
      <c r="M34" s="8" t="str">
        <f t="shared" si="2"/>
        <v/>
      </c>
      <c r="N34" s="7" t="s">
        <v>172</v>
      </c>
    </row>
    <row r="35" spans="1:14" ht="20" customHeight="1" x14ac:dyDescent="0.35">
      <c r="A35" s="69" t="s">
        <v>173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</row>
    <row r="36" spans="1:14" x14ac:dyDescent="0.35">
      <c r="A36" s="18">
        <v>1</v>
      </c>
      <c r="B36" s="19" t="s">
        <v>174</v>
      </c>
      <c r="C36" s="19" t="s">
        <v>175</v>
      </c>
      <c r="D36" s="19" t="s">
        <v>176</v>
      </c>
      <c r="E36" s="19" t="s">
        <v>177</v>
      </c>
      <c r="F36" s="19" t="s">
        <v>178</v>
      </c>
      <c r="G36" s="18" t="s">
        <v>22</v>
      </c>
      <c r="H36" s="18" t="s">
        <v>64</v>
      </c>
      <c r="I36" s="18" t="s">
        <v>42</v>
      </c>
      <c r="J36" s="20"/>
      <c r="K36" s="20"/>
      <c r="L36" s="21"/>
      <c r="M36" s="20" t="str">
        <f t="shared" ref="M36:M44" si="3">IF(OR(J36&gt;0,K36&gt;0),IF(K36&gt;0,K36,J36)*IF(L36&gt;0,L36,1),"")</f>
        <v/>
      </c>
      <c r="N36" s="19" t="s">
        <v>179</v>
      </c>
    </row>
    <row r="37" spans="1:14" x14ac:dyDescent="0.35">
      <c r="A37" s="6">
        <v>2</v>
      </c>
      <c r="B37" s="7" t="s">
        <v>174</v>
      </c>
      <c r="C37" s="7" t="s">
        <v>180</v>
      </c>
      <c r="D37" s="7" t="s">
        <v>181</v>
      </c>
      <c r="E37" s="7" t="s">
        <v>182</v>
      </c>
      <c r="F37" s="7" t="s">
        <v>183</v>
      </c>
      <c r="G37" s="6" t="s">
        <v>22</v>
      </c>
      <c r="H37" s="6" t="s">
        <v>64</v>
      </c>
      <c r="I37" s="6" t="s">
        <v>184</v>
      </c>
      <c r="J37" s="8"/>
      <c r="K37" s="8"/>
      <c r="L37" s="9"/>
      <c r="M37" s="8" t="str">
        <f t="shared" si="3"/>
        <v/>
      </c>
      <c r="N37" s="7" t="s">
        <v>185</v>
      </c>
    </row>
    <row r="38" spans="1:14" x14ac:dyDescent="0.35">
      <c r="A38" s="18">
        <v>3</v>
      </c>
      <c r="B38" s="19" t="s">
        <v>174</v>
      </c>
      <c r="C38" s="19" t="s">
        <v>186</v>
      </c>
      <c r="D38" s="19" t="s">
        <v>187</v>
      </c>
      <c r="E38" s="19" t="s">
        <v>188</v>
      </c>
      <c r="F38" s="19" t="s">
        <v>189</v>
      </c>
      <c r="G38" s="18" t="s">
        <v>22</v>
      </c>
      <c r="H38" s="18" t="s">
        <v>190</v>
      </c>
      <c r="I38" s="18" t="s">
        <v>191</v>
      </c>
      <c r="J38" s="20"/>
      <c r="K38" s="20"/>
      <c r="L38" s="21"/>
      <c r="M38" s="20" t="str">
        <f t="shared" si="3"/>
        <v/>
      </c>
      <c r="N38" s="19" t="s">
        <v>192</v>
      </c>
    </row>
    <row r="39" spans="1:14" x14ac:dyDescent="0.35">
      <c r="A39" s="6">
        <v>4</v>
      </c>
      <c r="B39" s="7" t="s">
        <v>174</v>
      </c>
      <c r="C39" s="7" t="s">
        <v>186</v>
      </c>
      <c r="D39" s="7" t="s">
        <v>193</v>
      </c>
      <c r="E39" s="7" t="s">
        <v>194</v>
      </c>
      <c r="F39" s="7" t="s">
        <v>195</v>
      </c>
      <c r="G39" s="6" t="s">
        <v>22</v>
      </c>
      <c r="H39" s="6" t="s">
        <v>190</v>
      </c>
      <c r="I39" s="6" t="s">
        <v>196</v>
      </c>
      <c r="J39" s="8"/>
      <c r="K39" s="8"/>
      <c r="L39" s="9"/>
      <c r="M39" s="8" t="str">
        <f t="shared" si="3"/>
        <v/>
      </c>
      <c r="N39" s="7" t="s">
        <v>197</v>
      </c>
    </row>
    <row r="40" spans="1:14" x14ac:dyDescent="0.35">
      <c r="A40" s="18">
        <v>5</v>
      </c>
      <c r="B40" s="19" t="s">
        <v>174</v>
      </c>
      <c r="C40" s="19" t="s">
        <v>186</v>
      </c>
      <c r="D40" s="19" t="s">
        <v>198</v>
      </c>
      <c r="E40" s="19" t="s">
        <v>199</v>
      </c>
      <c r="F40" s="19" t="s">
        <v>200</v>
      </c>
      <c r="G40" s="18" t="s">
        <v>22</v>
      </c>
      <c r="H40" s="18" t="s">
        <v>190</v>
      </c>
      <c r="I40" s="18" t="s">
        <v>201</v>
      </c>
      <c r="J40" s="20"/>
      <c r="K40" s="20"/>
      <c r="L40" s="21"/>
      <c r="M40" s="20" t="str">
        <f t="shared" si="3"/>
        <v/>
      </c>
      <c r="N40" s="19" t="s">
        <v>202</v>
      </c>
    </row>
    <row r="41" spans="1:14" x14ac:dyDescent="0.35">
      <c r="A41" s="6">
        <v>6</v>
      </c>
      <c r="B41" s="7" t="s">
        <v>174</v>
      </c>
      <c r="C41" s="7" t="s">
        <v>186</v>
      </c>
      <c r="D41" s="7" t="s">
        <v>203</v>
      </c>
      <c r="E41" s="7" t="s">
        <v>204</v>
      </c>
      <c r="F41" s="7" t="s">
        <v>200</v>
      </c>
      <c r="G41" s="6" t="s">
        <v>22</v>
      </c>
      <c r="H41" s="6" t="s">
        <v>190</v>
      </c>
      <c r="I41" s="6" t="s">
        <v>205</v>
      </c>
      <c r="J41" s="8"/>
      <c r="K41" s="8"/>
      <c r="L41" s="9"/>
      <c r="M41" s="8" t="str">
        <f t="shared" si="3"/>
        <v/>
      </c>
      <c r="N41" s="7" t="s">
        <v>206</v>
      </c>
    </row>
    <row r="42" spans="1:14" x14ac:dyDescent="0.35">
      <c r="A42" s="18">
        <v>7</v>
      </c>
      <c r="B42" s="19" t="s">
        <v>174</v>
      </c>
      <c r="C42" s="19" t="s">
        <v>186</v>
      </c>
      <c r="D42" s="19" t="s">
        <v>207</v>
      </c>
      <c r="E42" s="19" t="s">
        <v>208</v>
      </c>
      <c r="F42" s="19" t="s">
        <v>200</v>
      </c>
      <c r="G42" s="18" t="s">
        <v>22</v>
      </c>
      <c r="H42" s="18" t="s">
        <v>190</v>
      </c>
      <c r="I42" s="18" t="s">
        <v>209</v>
      </c>
      <c r="J42" s="20"/>
      <c r="K42" s="20"/>
      <c r="L42" s="21"/>
      <c r="M42" s="20" t="str">
        <f t="shared" si="3"/>
        <v/>
      </c>
      <c r="N42" s="19" t="s">
        <v>210</v>
      </c>
    </row>
    <row r="43" spans="1:14" x14ac:dyDescent="0.35">
      <c r="A43" s="6">
        <v>8</v>
      </c>
      <c r="B43" s="7" t="s">
        <v>174</v>
      </c>
      <c r="C43" s="7" t="s">
        <v>211</v>
      </c>
      <c r="D43" s="7" t="s">
        <v>212</v>
      </c>
      <c r="E43" s="7" t="s">
        <v>213</v>
      </c>
      <c r="F43" s="7" t="s">
        <v>214</v>
      </c>
      <c r="G43" s="6" t="s">
        <v>22</v>
      </c>
      <c r="H43" s="6" t="s">
        <v>127</v>
      </c>
      <c r="I43" s="6" t="s">
        <v>145</v>
      </c>
      <c r="J43" s="8"/>
      <c r="K43" s="8"/>
      <c r="L43" s="9"/>
      <c r="M43" s="8" t="str">
        <f t="shared" si="3"/>
        <v/>
      </c>
      <c r="N43" s="7" t="s">
        <v>215</v>
      </c>
    </row>
    <row r="44" spans="1:14" x14ac:dyDescent="0.35">
      <c r="A44" s="18">
        <v>9</v>
      </c>
      <c r="B44" s="19" t="s">
        <v>174</v>
      </c>
      <c r="C44" s="19" t="s">
        <v>216</v>
      </c>
      <c r="D44" s="19" t="s">
        <v>217</v>
      </c>
      <c r="E44" s="19" t="s">
        <v>218</v>
      </c>
      <c r="F44" s="19" t="s">
        <v>200</v>
      </c>
      <c r="G44" s="18" t="s">
        <v>22</v>
      </c>
      <c r="H44" s="18" t="s">
        <v>190</v>
      </c>
      <c r="I44" s="18" t="s">
        <v>219</v>
      </c>
      <c r="J44" s="20"/>
      <c r="K44" s="20"/>
      <c r="L44" s="21"/>
      <c r="M44" s="20" t="str">
        <f t="shared" si="3"/>
        <v/>
      </c>
      <c r="N44" s="19" t="s">
        <v>220</v>
      </c>
    </row>
    <row r="45" spans="1:14" ht="20" customHeight="1" x14ac:dyDescent="0.35">
      <c r="A45" s="75" t="s">
        <v>221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</row>
    <row r="46" spans="1:14" x14ac:dyDescent="0.35">
      <c r="A46" s="22">
        <v>1</v>
      </c>
      <c r="B46" s="23" t="s">
        <v>222</v>
      </c>
      <c r="C46" s="23" t="s">
        <v>223</v>
      </c>
      <c r="D46" s="23" t="s">
        <v>224</v>
      </c>
      <c r="E46" s="23" t="s">
        <v>225</v>
      </c>
      <c r="F46" s="23" t="s">
        <v>226</v>
      </c>
      <c r="G46" s="22" t="s">
        <v>227</v>
      </c>
      <c r="H46" s="22" t="s">
        <v>228</v>
      </c>
      <c r="I46" s="22" t="s">
        <v>229</v>
      </c>
      <c r="J46" s="24"/>
      <c r="K46" s="24"/>
      <c r="L46" s="25"/>
      <c r="M46" s="24" t="str">
        <f>IF(OR(J46&gt;0,K46&gt;0),IF(K46&gt;0,K46,J46)*IF(L46&gt;0,L46,1),"")</f>
        <v/>
      </c>
      <c r="N46" s="23" t="s">
        <v>230</v>
      </c>
    </row>
    <row r="47" spans="1:14" x14ac:dyDescent="0.35">
      <c r="A47" s="6">
        <v>2</v>
      </c>
      <c r="B47" s="7" t="s">
        <v>222</v>
      </c>
      <c r="C47" s="7" t="s">
        <v>223</v>
      </c>
      <c r="D47" s="7" t="s">
        <v>231</v>
      </c>
      <c r="E47" s="7" t="s">
        <v>232</v>
      </c>
      <c r="F47" s="7" t="s">
        <v>233</v>
      </c>
      <c r="G47" s="6" t="s">
        <v>227</v>
      </c>
      <c r="H47" s="6" t="s">
        <v>228</v>
      </c>
      <c r="I47" s="6" t="s">
        <v>234</v>
      </c>
      <c r="J47" s="8"/>
      <c r="K47" s="8"/>
      <c r="L47" s="9"/>
      <c r="M47" s="8" t="str">
        <f>IF(OR(J47&gt;0,K47&gt;0),IF(K47&gt;0,K47,J47)*IF(L47&gt;0,L47,1),"")</f>
        <v/>
      </c>
      <c r="N47" s="7" t="s">
        <v>235</v>
      </c>
    </row>
    <row r="48" spans="1:14" x14ac:dyDescent="0.35">
      <c r="A48" s="22">
        <v>3</v>
      </c>
      <c r="B48" s="23" t="s">
        <v>222</v>
      </c>
      <c r="C48" s="23" t="s">
        <v>236</v>
      </c>
      <c r="D48" s="23" t="s">
        <v>237</v>
      </c>
      <c r="E48" s="23" t="s">
        <v>238</v>
      </c>
      <c r="F48" s="23" t="s">
        <v>239</v>
      </c>
      <c r="G48" s="22" t="s">
        <v>227</v>
      </c>
      <c r="H48" s="22" t="s">
        <v>228</v>
      </c>
      <c r="I48" s="22" t="s">
        <v>240</v>
      </c>
      <c r="J48" s="24"/>
      <c r="K48" s="24"/>
      <c r="L48" s="25"/>
      <c r="M48" s="24" t="str">
        <f>IF(OR(J48&gt;0,K48&gt;0),IF(K48&gt;0,K48,J48)*IF(L48&gt;0,L48,1),"")</f>
        <v/>
      </c>
      <c r="N48" s="23" t="s">
        <v>241</v>
      </c>
    </row>
    <row r="49" spans="1:14" x14ac:dyDescent="0.35">
      <c r="A49" s="6">
        <v>4</v>
      </c>
      <c r="B49" s="7" t="s">
        <v>222</v>
      </c>
      <c r="C49" s="7" t="s">
        <v>242</v>
      </c>
      <c r="D49" s="7" t="s">
        <v>243</v>
      </c>
      <c r="E49" s="7" t="s">
        <v>244</v>
      </c>
      <c r="F49" s="7" t="s">
        <v>245</v>
      </c>
      <c r="G49" s="6" t="s">
        <v>227</v>
      </c>
      <c r="H49" s="6" t="s">
        <v>228</v>
      </c>
      <c r="I49" s="6" t="s">
        <v>246</v>
      </c>
      <c r="J49" s="8"/>
      <c r="K49" s="8"/>
      <c r="L49" s="9"/>
      <c r="M49" s="8" t="str">
        <f>IF(OR(J49&gt;0,K49&gt;0),IF(K49&gt;0,K49,J49)*IF(L49&gt;0,L49,1),"")</f>
        <v/>
      </c>
      <c r="N49" s="7" t="s">
        <v>247</v>
      </c>
    </row>
    <row r="50" spans="1:14" x14ac:dyDescent="0.35">
      <c r="A50" s="22">
        <v>5</v>
      </c>
      <c r="B50" s="23" t="s">
        <v>222</v>
      </c>
      <c r="C50" s="23" t="s">
        <v>248</v>
      </c>
      <c r="D50" s="23" t="s">
        <v>249</v>
      </c>
      <c r="E50" s="23" t="s">
        <v>250</v>
      </c>
      <c r="F50" s="23" t="s">
        <v>251</v>
      </c>
      <c r="G50" s="22" t="s">
        <v>252</v>
      </c>
      <c r="H50" s="22" t="s">
        <v>127</v>
      </c>
      <c r="I50" s="22" t="s">
        <v>253</v>
      </c>
      <c r="J50" s="24"/>
      <c r="K50" s="24"/>
      <c r="L50" s="25"/>
      <c r="M50" s="24" t="str">
        <f>IF(OR(J50&gt;0,K50&gt;0),IF(K50&gt;0,K50,J50)*IF(L50&gt;0,L50,1),"")</f>
        <v/>
      </c>
      <c r="N50" s="23" t="s">
        <v>254</v>
      </c>
    </row>
    <row r="51" spans="1:14" ht="20" customHeight="1" x14ac:dyDescent="0.35">
      <c r="A51" s="74" t="s">
        <v>255</v>
      </c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</row>
    <row r="52" spans="1:14" x14ac:dyDescent="0.35">
      <c r="A52" s="26">
        <v>1</v>
      </c>
      <c r="B52" s="27" t="s">
        <v>256</v>
      </c>
      <c r="C52" s="27" t="s">
        <v>257</v>
      </c>
      <c r="D52" s="27" t="s">
        <v>258</v>
      </c>
      <c r="E52" s="27" t="s">
        <v>259</v>
      </c>
      <c r="F52" s="27" t="s">
        <v>260</v>
      </c>
      <c r="G52" s="26" t="s">
        <v>22</v>
      </c>
      <c r="H52" s="26" t="s">
        <v>112</v>
      </c>
      <c r="I52" s="26" t="s">
        <v>261</v>
      </c>
      <c r="J52" s="28"/>
      <c r="K52" s="28"/>
      <c r="L52" s="29"/>
      <c r="M52" s="28" t="str">
        <f>IF(OR(J52&gt;0,K52&gt;0),IF(K52&gt;0,K52,J52)*IF(L52&gt;0,L52,1),"")</f>
        <v/>
      </c>
      <c r="N52" s="27" t="s">
        <v>262</v>
      </c>
    </row>
    <row r="53" spans="1:14" x14ac:dyDescent="0.35">
      <c r="A53" s="6">
        <v>2</v>
      </c>
      <c r="B53" s="7" t="s">
        <v>256</v>
      </c>
      <c r="C53" s="7" t="s">
        <v>263</v>
      </c>
      <c r="D53" s="7" t="s">
        <v>264</v>
      </c>
      <c r="E53" s="7" t="s">
        <v>265</v>
      </c>
      <c r="F53" s="7" t="s">
        <v>266</v>
      </c>
      <c r="G53" s="6" t="s">
        <v>22</v>
      </c>
      <c r="H53" s="6" t="s">
        <v>267</v>
      </c>
      <c r="I53" s="6" t="s">
        <v>268</v>
      </c>
      <c r="J53" s="8"/>
      <c r="K53" s="8"/>
      <c r="L53" s="9"/>
      <c r="M53" s="8" t="str">
        <f>IF(OR(J53&gt;0,K53&gt;0),IF(K53&gt;0,K53,J53)*IF(L53&gt;0,L53,1),"")</f>
        <v/>
      </c>
      <c r="N53" s="7" t="s">
        <v>269</v>
      </c>
    </row>
    <row r="54" spans="1:14" x14ac:dyDescent="0.35">
      <c r="A54" s="26">
        <v>3</v>
      </c>
      <c r="B54" s="27" t="s">
        <v>256</v>
      </c>
      <c r="C54" s="27" t="s">
        <v>270</v>
      </c>
      <c r="D54" s="27" t="s">
        <v>271</v>
      </c>
      <c r="E54" s="27" t="s">
        <v>272</v>
      </c>
      <c r="F54" s="27" t="s">
        <v>68</v>
      </c>
      <c r="G54" s="26" t="s">
        <v>22</v>
      </c>
      <c r="H54" s="26" t="s">
        <v>52</v>
      </c>
      <c r="I54" s="26" t="s">
        <v>42</v>
      </c>
      <c r="J54" s="28"/>
      <c r="K54" s="28"/>
      <c r="L54" s="29"/>
      <c r="M54" s="28" t="str">
        <f>IF(OR(J54&gt;0,K54&gt;0),IF(K54&gt;0,K54,J54)*IF(L54&gt;0,L54,1),"")</f>
        <v/>
      </c>
      <c r="N54" s="27" t="s">
        <v>273</v>
      </c>
    </row>
    <row r="55" spans="1:14" x14ac:dyDescent="0.35">
      <c r="A55" s="6">
        <v>4</v>
      </c>
      <c r="B55" s="7" t="s">
        <v>256</v>
      </c>
      <c r="C55" s="7" t="s">
        <v>274</v>
      </c>
      <c r="D55" s="7" t="s">
        <v>275</v>
      </c>
      <c r="E55" s="7" t="s">
        <v>276</v>
      </c>
      <c r="F55" s="7" t="s">
        <v>277</v>
      </c>
      <c r="G55" s="6" t="s">
        <v>22</v>
      </c>
      <c r="H55" s="6" t="s">
        <v>127</v>
      </c>
      <c r="I55" s="6" t="s">
        <v>24</v>
      </c>
      <c r="J55" s="8"/>
      <c r="K55" s="8"/>
      <c r="L55" s="9"/>
      <c r="M55" s="8" t="str">
        <f>IF(OR(J55&gt;0,K55&gt;0),IF(K55&gt;0,K55,J55)*IF(L55&gt;0,L55,1),"")</f>
        <v/>
      </c>
      <c r="N55" s="7" t="s">
        <v>278</v>
      </c>
    </row>
    <row r="56" spans="1:14" ht="20" customHeight="1" x14ac:dyDescent="0.35">
      <c r="A56" s="65" t="s">
        <v>279</v>
      </c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</row>
    <row r="57" spans="1:14" x14ac:dyDescent="0.35">
      <c r="A57" s="30">
        <v>1</v>
      </c>
      <c r="B57" s="31" t="s">
        <v>280</v>
      </c>
      <c r="C57" s="31" t="s">
        <v>281</v>
      </c>
      <c r="D57" s="31" t="s">
        <v>282</v>
      </c>
      <c r="E57" s="31" t="s">
        <v>283</v>
      </c>
      <c r="F57" s="31" t="s">
        <v>284</v>
      </c>
      <c r="G57" s="30" t="s">
        <v>285</v>
      </c>
      <c r="H57" s="30" t="s">
        <v>156</v>
      </c>
      <c r="I57" s="30" t="s">
        <v>106</v>
      </c>
      <c r="J57" s="32"/>
      <c r="K57" s="32"/>
      <c r="L57" s="33"/>
      <c r="M57" s="32" t="str">
        <f t="shared" ref="M57:M69" si="4">IF(OR(J57&gt;0,K57&gt;0),IF(K57&gt;0,K57,J57)*IF(L57&gt;0,L57,1),"")</f>
        <v/>
      </c>
      <c r="N57" s="31" t="s">
        <v>286</v>
      </c>
    </row>
    <row r="58" spans="1:14" x14ac:dyDescent="0.35">
      <c r="A58" s="6">
        <v>2</v>
      </c>
      <c r="B58" s="7" t="s">
        <v>280</v>
      </c>
      <c r="C58" s="7" t="s">
        <v>281</v>
      </c>
      <c r="D58" s="7" t="s">
        <v>287</v>
      </c>
      <c r="E58" s="7" t="s">
        <v>288</v>
      </c>
      <c r="F58" s="7" t="s">
        <v>289</v>
      </c>
      <c r="G58" s="6" t="s">
        <v>285</v>
      </c>
      <c r="H58" s="6" t="s">
        <v>290</v>
      </c>
      <c r="I58" s="6" t="s">
        <v>106</v>
      </c>
      <c r="J58" s="8"/>
      <c r="K58" s="8"/>
      <c r="L58" s="9"/>
      <c r="M58" s="8" t="str">
        <f t="shared" si="4"/>
        <v/>
      </c>
      <c r="N58" s="7" t="s">
        <v>291</v>
      </c>
    </row>
    <row r="59" spans="1:14" x14ac:dyDescent="0.35">
      <c r="A59" s="30">
        <v>3</v>
      </c>
      <c r="B59" s="31" t="s">
        <v>280</v>
      </c>
      <c r="C59" s="31" t="s">
        <v>281</v>
      </c>
      <c r="D59" s="31" t="s">
        <v>292</v>
      </c>
      <c r="E59" s="31" t="s">
        <v>293</v>
      </c>
      <c r="F59" s="31" t="s">
        <v>294</v>
      </c>
      <c r="G59" s="30" t="s">
        <v>285</v>
      </c>
      <c r="H59" s="30" t="s">
        <v>295</v>
      </c>
      <c r="I59" s="30" t="s">
        <v>118</v>
      </c>
      <c r="J59" s="32"/>
      <c r="K59" s="32"/>
      <c r="L59" s="33"/>
      <c r="M59" s="32" t="str">
        <f t="shared" si="4"/>
        <v/>
      </c>
      <c r="N59" s="31" t="s">
        <v>296</v>
      </c>
    </row>
    <row r="60" spans="1:14" x14ac:dyDescent="0.35">
      <c r="A60" s="6">
        <v>4</v>
      </c>
      <c r="B60" s="7" t="s">
        <v>280</v>
      </c>
      <c r="C60" s="7" t="s">
        <v>281</v>
      </c>
      <c r="D60" s="7" t="s">
        <v>297</v>
      </c>
      <c r="E60" s="7" t="s">
        <v>298</v>
      </c>
      <c r="F60" s="7" t="s">
        <v>299</v>
      </c>
      <c r="G60" s="6" t="s">
        <v>285</v>
      </c>
      <c r="H60" s="6" t="s">
        <v>300</v>
      </c>
      <c r="I60" s="6" t="s">
        <v>91</v>
      </c>
      <c r="J60" s="8"/>
      <c r="K60" s="8"/>
      <c r="L60" s="9"/>
      <c r="M60" s="8" t="str">
        <f t="shared" si="4"/>
        <v/>
      </c>
      <c r="N60" s="7" t="s">
        <v>301</v>
      </c>
    </row>
    <row r="61" spans="1:14" x14ac:dyDescent="0.35">
      <c r="A61" s="30">
        <v>5</v>
      </c>
      <c r="B61" s="31" t="s">
        <v>280</v>
      </c>
      <c r="C61" s="31" t="s">
        <v>281</v>
      </c>
      <c r="D61" s="31" t="s">
        <v>302</v>
      </c>
      <c r="E61" s="31" t="s">
        <v>303</v>
      </c>
      <c r="F61" s="31" t="s">
        <v>304</v>
      </c>
      <c r="G61" s="30" t="s">
        <v>285</v>
      </c>
      <c r="H61" s="30" t="s">
        <v>305</v>
      </c>
      <c r="I61" s="30" t="s">
        <v>106</v>
      </c>
      <c r="J61" s="32"/>
      <c r="K61" s="32"/>
      <c r="L61" s="33"/>
      <c r="M61" s="32" t="str">
        <f t="shared" si="4"/>
        <v/>
      </c>
      <c r="N61" s="31" t="s">
        <v>306</v>
      </c>
    </row>
    <row r="62" spans="1:14" x14ac:dyDescent="0.35">
      <c r="A62" s="6">
        <v>6</v>
      </c>
      <c r="B62" s="7" t="s">
        <v>280</v>
      </c>
      <c r="C62" s="7" t="s">
        <v>307</v>
      </c>
      <c r="D62" s="7" t="s">
        <v>308</v>
      </c>
      <c r="E62" s="7" t="s">
        <v>309</v>
      </c>
      <c r="F62" s="7" t="s">
        <v>310</v>
      </c>
      <c r="G62" s="6" t="s">
        <v>22</v>
      </c>
      <c r="H62" s="6" t="s">
        <v>267</v>
      </c>
      <c r="I62" s="6" t="s">
        <v>311</v>
      </c>
      <c r="J62" s="8"/>
      <c r="K62" s="8"/>
      <c r="L62" s="9"/>
      <c r="M62" s="8" t="str">
        <f t="shared" si="4"/>
        <v/>
      </c>
      <c r="N62" s="7" t="s">
        <v>312</v>
      </c>
    </row>
    <row r="63" spans="1:14" x14ac:dyDescent="0.35">
      <c r="A63" s="30">
        <v>7</v>
      </c>
      <c r="B63" s="31" t="s">
        <v>280</v>
      </c>
      <c r="C63" s="31" t="s">
        <v>307</v>
      </c>
      <c r="D63" s="31" t="s">
        <v>313</v>
      </c>
      <c r="E63" s="31" t="s">
        <v>314</v>
      </c>
      <c r="F63" s="31" t="s">
        <v>315</v>
      </c>
      <c r="G63" s="30" t="s">
        <v>316</v>
      </c>
      <c r="H63" s="30" t="s">
        <v>228</v>
      </c>
      <c r="I63" s="30" t="s">
        <v>317</v>
      </c>
      <c r="J63" s="32"/>
      <c r="K63" s="32"/>
      <c r="L63" s="33"/>
      <c r="M63" s="32" t="str">
        <f t="shared" si="4"/>
        <v/>
      </c>
      <c r="N63" s="31" t="s">
        <v>318</v>
      </c>
    </row>
    <row r="64" spans="1:14" x14ac:dyDescent="0.35">
      <c r="A64" s="6">
        <v>8</v>
      </c>
      <c r="B64" s="7" t="s">
        <v>280</v>
      </c>
      <c r="C64" s="7" t="s">
        <v>307</v>
      </c>
      <c r="D64" s="7" t="s">
        <v>319</v>
      </c>
      <c r="E64" s="7" t="s">
        <v>320</v>
      </c>
      <c r="F64" s="7" t="s">
        <v>321</v>
      </c>
      <c r="G64" s="6" t="s">
        <v>322</v>
      </c>
      <c r="H64" s="6" t="s">
        <v>228</v>
      </c>
      <c r="I64" s="6" t="s">
        <v>323</v>
      </c>
      <c r="J64" s="8"/>
      <c r="K64" s="8"/>
      <c r="L64" s="9"/>
      <c r="M64" s="8" t="str">
        <f t="shared" si="4"/>
        <v/>
      </c>
      <c r="N64" s="7" t="s">
        <v>324</v>
      </c>
    </row>
    <row r="65" spans="1:14" x14ac:dyDescent="0.35">
      <c r="A65" s="30">
        <v>9</v>
      </c>
      <c r="B65" s="31" t="s">
        <v>280</v>
      </c>
      <c r="C65" s="31" t="s">
        <v>307</v>
      </c>
      <c r="D65" s="31" t="s">
        <v>325</v>
      </c>
      <c r="E65" s="31" t="s">
        <v>326</v>
      </c>
      <c r="F65" s="31" t="s">
        <v>327</v>
      </c>
      <c r="G65" s="30" t="s">
        <v>322</v>
      </c>
      <c r="H65" s="30" t="s">
        <v>228</v>
      </c>
      <c r="I65" s="30" t="s">
        <v>328</v>
      </c>
      <c r="J65" s="32"/>
      <c r="K65" s="32"/>
      <c r="L65" s="33"/>
      <c r="M65" s="32" t="str">
        <f t="shared" si="4"/>
        <v/>
      </c>
      <c r="N65" s="31" t="s">
        <v>329</v>
      </c>
    </row>
    <row r="66" spans="1:14" x14ac:dyDescent="0.35">
      <c r="A66" s="6">
        <v>10</v>
      </c>
      <c r="B66" s="7" t="s">
        <v>280</v>
      </c>
      <c r="C66" s="7" t="s">
        <v>330</v>
      </c>
      <c r="D66" s="7" t="s">
        <v>331</v>
      </c>
      <c r="E66" s="7" t="s">
        <v>332</v>
      </c>
      <c r="F66" s="7" t="s">
        <v>333</v>
      </c>
      <c r="G66" s="6" t="s">
        <v>334</v>
      </c>
      <c r="H66" s="6" t="s">
        <v>228</v>
      </c>
      <c r="I66" s="6" t="s">
        <v>335</v>
      </c>
      <c r="J66" s="8"/>
      <c r="K66" s="8"/>
      <c r="L66" s="9"/>
      <c r="M66" s="8" t="str">
        <f t="shared" si="4"/>
        <v/>
      </c>
      <c r="N66" s="7" t="s">
        <v>336</v>
      </c>
    </row>
    <row r="67" spans="1:14" x14ac:dyDescent="0.35">
      <c r="A67" s="30">
        <v>11</v>
      </c>
      <c r="B67" s="31" t="s">
        <v>280</v>
      </c>
      <c r="C67" s="31" t="s">
        <v>330</v>
      </c>
      <c r="D67" s="31" t="s">
        <v>337</v>
      </c>
      <c r="E67" s="31" t="s">
        <v>338</v>
      </c>
      <c r="F67" s="31" t="s">
        <v>339</v>
      </c>
      <c r="G67" s="30" t="s">
        <v>322</v>
      </c>
      <c r="H67" s="30" t="s">
        <v>228</v>
      </c>
      <c r="I67" s="30" t="s">
        <v>340</v>
      </c>
      <c r="J67" s="32"/>
      <c r="K67" s="32"/>
      <c r="L67" s="33"/>
      <c r="M67" s="32" t="str">
        <f t="shared" si="4"/>
        <v/>
      </c>
      <c r="N67" s="31" t="s">
        <v>341</v>
      </c>
    </row>
    <row r="68" spans="1:14" x14ac:dyDescent="0.35">
      <c r="A68" s="6">
        <v>12</v>
      </c>
      <c r="B68" s="7" t="s">
        <v>280</v>
      </c>
      <c r="C68" s="7" t="s">
        <v>330</v>
      </c>
      <c r="D68" s="7" t="s">
        <v>342</v>
      </c>
      <c r="E68" s="7" t="s">
        <v>343</v>
      </c>
      <c r="F68" s="7" t="s">
        <v>344</v>
      </c>
      <c r="G68" s="6" t="s">
        <v>322</v>
      </c>
      <c r="H68" s="6" t="s">
        <v>228</v>
      </c>
      <c r="I68" s="6" t="s">
        <v>345</v>
      </c>
      <c r="J68" s="8"/>
      <c r="K68" s="8"/>
      <c r="L68" s="9"/>
      <c r="M68" s="8" t="str">
        <f t="shared" si="4"/>
        <v/>
      </c>
      <c r="N68" s="7" t="s">
        <v>346</v>
      </c>
    </row>
    <row r="69" spans="1:14" x14ac:dyDescent="0.35">
      <c r="A69" s="30">
        <v>13</v>
      </c>
      <c r="B69" s="31" t="s">
        <v>280</v>
      </c>
      <c r="C69" s="31" t="s">
        <v>330</v>
      </c>
      <c r="D69" s="31" t="s">
        <v>347</v>
      </c>
      <c r="E69" s="31" t="s">
        <v>348</v>
      </c>
      <c r="F69" s="31" t="s">
        <v>349</v>
      </c>
      <c r="G69" s="30" t="s">
        <v>322</v>
      </c>
      <c r="H69" s="30" t="s">
        <v>228</v>
      </c>
      <c r="I69" s="30" t="s">
        <v>340</v>
      </c>
      <c r="J69" s="32"/>
      <c r="K69" s="32"/>
      <c r="L69" s="33"/>
      <c r="M69" s="32" t="str">
        <f t="shared" si="4"/>
        <v/>
      </c>
      <c r="N69" s="31" t="s">
        <v>350</v>
      </c>
    </row>
    <row r="70" spans="1:14" ht="20" customHeight="1" x14ac:dyDescent="0.35">
      <c r="A70" s="67" t="s">
        <v>351</v>
      </c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</row>
    <row r="71" spans="1:14" x14ac:dyDescent="0.35">
      <c r="A71" s="34">
        <v>1</v>
      </c>
      <c r="B71" s="35" t="s">
        <v>352</v>
      </c>
      <c r="C71" s="35" t="s">
        <v>353</v>
      </c>
      <c r="D71" s="35" t="s">
        <v>354</v>
      </c>
      <c r="E71" s="35" t="s">
        <v>355</v>
      </c>
      <c r="F71" s="35" t="s">
        <v>356</v>
      </c>
      <c r="G71" s="34" t="s">
        <v>22</v>
      </c>
      <c r="H71" s="34" t="s">
        <v>127</v>
      </c>
      <c r="I71" s="34" t="s">
        <v>340</v>
      </c>
      <c r="J71" s="36"/>
      <c r="K71" s="36"/>
      <c r="L71" s="37"/>
      <c r="M71" s="36" t="str">
        <f>IF(OR(J71&gt;0,K71&gt;0),IF(K71&gt;0,K71,J71)*IF(L71&gt;0,L71,1),"")</f>
        <v/>
      </c>
      <c r="N71" s="35" t="s">
        <v>357</v>
      </c>
    </row>
    <row r="72" spans="1:14" x14ac:dyDescent="0.35">
      <c r="A72" s="6">
        <v>2</v>
      </c>
      <c r="B72" s="7" t="s">
        <v>352</v>
      </c>
      <c r="C72" s="7" t="s">
        <v>358</v>
      </c>
      <c r="D72" s="7" t="s">
        <v>359</v>
      </c>
      <c r="E72" s="7" t="s">
        <v>360</v>
      </c>
      <c r="F72" s="7" t="s">
        <v>68</v>
      </c>
      <c r="G72" s="6" t="s">
        <v>22</v>
      </c>
      <c r="H72" s="6" t="s">
        <v>52</v>
      </c>
      <c r="I72" s="6" t="s">
        <v>340</v>
      </c>
      <c r="J72" s="8"/>
      <c r="K72" s="8"/>
      <c r="L72" s="9"/>
      <c r="M72" s="8" t="str">
        <f>IF(OR(J72&gt;0,K72&gt;0),IF(K72&gt;0,K72,J72)*IF(L72&gt;0,L72,1),"")</f>
        <v/>
      </c>
      <c r="N72" s="7" t="s">
        <v>361</v>
      </c>
    </row>
    <row r="73" spans="1:14" x14ac:dyDescent="0.35">
      <c r="A73" s="34">
        <v>3</v>
      </c>
      <c r="B73" s="35" t="s">
        <v>352</v>
      </c>
      <c r="C73" s="35" t="s">
        <v>362</v>
      </c>
      <c r="D73" s="35" t="s">
        <v>363</v>
      </c>
      <c r="E73" s="35" t="s">
        <v>364</v>
      </c>
      <c r="F73" s="35" t="s">
        <v>365</v>
      </c>
      <c r="G73" s="34" t="s">
        <v>22</v>
      </c>
      <c r="H73" s="34" t="s">
        <v>366</v>
      </c>
      <c r="I73" s="34" t="s">
        <v>340</v>
      </c>
      <c r="J73" s="36"/>
      <c r="K73" s="36"/>
      <c r="L73" s="37"/>
      <c r="M73" s="36" t="str">
        <f>IF(OR(J73&gt;0,K73&gt;0),IF(K73&gt;0,K73,J73)*IF(L73&gt;0,L73,1),"")</f>
        <v/>
      </c>
      <c r="N73" s="35" t="s">
        <v>367</v>
      </c>
    </row>
    <row r="74" spans="1:14" x14ac:dyDescent="0.35">
      <c r="A74" s="6">
        <v>4</v>
      </c>
      <c r="B74" s="7" t="s">
        <v>352</v>
      </c>
      <c r="C74" s="7" t="s">
        <v>368</v>
      </c>
      <c r="D74" s="7" t="s">
        <v>369</v>
      </c>
      <c r="E74" s="7" t="s">
        <v>370</v>
      </c>
      <c r="F74" s="7" t="s">
        <v>371</v>
      </c>
      <c r="G74" s="6" t="s">
        <v>22</v>
      </c>
      <c r="H74" s="6" t="s">
        <v>127</v>
      </c>
      <c r="I74" s="6" t="s">
        <v>340</v>
      </c>
      <c r="J74" s="8"/>
      <c r="K74" s="8"/>
      <c r="L74" s="9"/>
      <c r="M74" s="8" t="str">
        <f>IF(OR(J74&gt;0,K74&gt;0),IF(K74&gt;0,K74,J74)*IF(L74&gt;0,L74,1),"")</f>
        <v/>
      </c>
      <c r="N74" s="7" t="s">
        <v>372</v>
      </c>
    </row>
    <row r="75" spans="1:14" ht="20" customHeight="1" x14ac:dyDescent="0.35">
      <c r="A75" s="76" t="s">
        <v>373</v>
      </c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</row>
    <row r="76" spans="1:14" x14ac:dyDescent="0.35">
      <c r="A76" s="38">
        <v>1</v>
      </c>
      <c r="B76" s="39" t="s">
        <v>374</v>
      </c>
      <c r="C76" s="39" t="s">
        <v>375</v>
      </c>
      <c r="D76" s="39" t="s">
        <v>376</v>
      </c>
      <c r="E76" s="39" t="s">
        <v>377</v>
      </c>
      <c r="F76" s="39" t="s">
        <v>378</v>
      </c>
      <c r="G76" s="38" t="s">
        <v>22</v>
      </c>
      <c r="H76" s="38" t="s">
        <v>58</v>
      </c>
      <c r="I76" s="38" t="s">
        <v>379</v>
      </c>
      <c r="J76" s="40"/>
      <c r="K76" s="40"/>
      <c r="L76" s="41"/>
      <c r="M76" s="40" t="str">
        <f t="shared" ref="M76:M82" si="5">IF(OR(J76&gt;0,K76&gt;0),IF(K76&gt;0,K76,J76)*IF(L76&gt;0,L76,1),"")</f>
        <v/>
      </c>
      <c r="N76" s="39" t="s">
        <v>380</v>
      </c>
    </row>
    <row r="77" spans="1:14" x14ac:dyDescent="0.35">
      <c r="A77" s="6">
        <v>2</v>
      </c>
      <c r="B77" s="7" t="s">
        <v>374</v>
      </c>
      <c r="C77" s="7" t="s">
        <v>375</v>
      </c>
      <c r="D77" s="7" t="s">
        <v>381</v>
      </c>
      <c r="E77" s="7" t="s">
        <v>382</v>
      </c>
      <c r="F77" s="7" t="s">
        <v>117</v>
      </c>
      <c r="G77" s="6" t="s">
        <v>22</v>
      </c>
      <c r="H77" s="6" t="s">
        <v>366</v>
      </c>
      <c r="I77" s="6" t="s">
        <v>383</v>
      </c>
      <c r="J77" s="8"/>
      <c r="K77" s="8"/>
      <c r="L77" s="9"/>
      <c r="M77" s="8" t="str">
        <f t="shared" si="5"/>
        <v/>
      </c>
      <c r="N77" s="7" t="s">
        <v>384</v>
      </c>
    </row>
    <row r="78" spans="1:14" x14ac:dyDescent="0.35">
      <c r="A78" s="38">
        <v>3</v>
      </c>
      <c r="B78" s="39" t="s">
        <v>374</v>
      </c>
      <c r="C78" s="39" t="s">
        <v>248</v>
      </c>
      <c r="D78" s="39" t="s">
        <v>385</v>
      </c>
      <c r="E78" s="39" t="s">
        <v>386</v>
      </c>
      <c r="F78" s="39" t="s">
        <v>387</v>
      </c>
      <c r="G78" s="38" t="s">
        <v>22</v>
      </c>
      <c r="H78" s="38" t="s">
        <v>135</v>
      </c>
      <c r="I78" s="38" t="s">
        <v>388</v>
      </c>
      <c r="J78" s="40"/>
      <c r="K78" s="40"/>
      <c r="L78" s="41"/>
      <c r="M78" s="40" t="str">
        <f t="shared" si="5"/>
        <v/>
      </c>
      <c r="N78" s="39" t="s">
        <v>389</v>
      </c>
    </row>
    <row r="79" spans="1:14" x14ac:dyDescent="0.35">
      <c r="A79" s="6">
        <v>4</v>
      </c>
      <c r="B79" s="7" t="s">
        <v>374</v>
      </c>
      <c r="C79" s="7" t="s">
        <v>248</v>
      </c>
      <c r="D79" s="7" t="s">
        <v>390</v>
      </c>
      <c r="E79" s="7" t="s">
        <v>391</v>
      </c>
      <c r="F79" s="7" t="s">
        <v>392</v>
      </c>
      <c r="G79" s="6" t="s">
        <v>22</v>
      </c>
      <c r="H79" s="6" t="s">
        <v>393</v>
      </c>
      <c r="I79" s="6" t="s">
        <v>394</v>
      </c>
      <c r="J79" s="8"/>
      <c r="K79" s="8"/>
      <c r="L79" s="9"/>
      <c r="M79" s="8" t="str">
        <f t="shared" si="5"/>
        <v/>
      </c>
      <c r="N79" s="7" t="s">
        <v>395</v>
      </c>
    </row>
    <row r="80" spans="1:14" x14ac:dyDescent="0.35">
      <c r="A80" s="38">
        <v>5</v>
      </c>
      <c r="B80" s="39" t="s">
        <v>374</v>
      </c>
      <c r="C80" s="39" t="s">
        <v>396</v>
      </c>
      <c r="D80" s="39" t="s">
        <v>397</v>
      </c>
      <c r="E80" s="39" t="s">
        <v>398</v>
      </c>
      <c r="F80" s="39" t="s">
        <v>399</v>
      </c>
      <c r="G80" s="38" t="s">
        <v>22</v>
      </c>
      <c r="H80" s="38" t="s">
        <v>47</v>
      </c>
      <c r="I80" s="38" t="s">
        <v>400</v>
      </c>
      <c r="J80" s="40"/>
      <c r="K80" s="40"/>
      <c r="L80" s="41"/>
      <c r="M80" s="40" t="str">
        <f t="shared" si="5"/>
        <v/>
      </c>
      <c r="N80" s="39" t="s">
        <v>401</v>
      </c>
    </row>
    <row r="81" spans="1:14" x14ac:dyDescent="0.35">
      <c r="A81" s="6">
        <v>6</v>
      </c>
      <c r="B81" s="7" t="s">
        <v>374</v>
      </c>
      <c r="C81" s="7" t="s">
        <v>396</v>
      </c>
      <c r="D81" s="7" t="s">
        <v>402</v>
      </c>
      <c r="E81" s="7" t="s">
        <v>403</v>
      </c>
      <c r="F81" s="7" t="s">
        <v>404</v>
      </c>
      <c r="G81" s="6" t="s">
        <v>22</v>
      </c>
      <c r="H81" s="6" t="s">
        <v>127</v>
      </c>
      <c r="I81" s="6" t="s">
        <v>30</v>
      </c>
      <c r="J81" s="8"/>
      <c r="K81" s="8"/>
      <c r="L81" s="9"/>
      <c r="M81" s="8" t="str">
        <f t="shared" si="5"/>
        <v/>
      </c>
      <c r="N81" s="7" t="s">
        <v>405</v>
      </c>
    </row>
    <row r="82" spans="1:14" x14ac:dyDescent="0.35">
      <c r="A82" s="38">
        <v>7</v>
      </c>
      <c r="B82" s="39" t="s">
        <v>374</v>
      </c>
      <c r="C82" s="39" t="s">
        <v>396</v>
      </c>
      <c r="D82" s="39" t="s">
        <v>406</v>
      </c>
      <c r="E82" s="39" t="s">
        <v>407</v>
      </c>
      <c r="F82" s="39" t="s">
        <v>408</v>
      </c>
      <c r="G82" s="38" t="s">
        <v>409</v>
      </c>
      <c r="H82" s="38" t="s">
        <v>228</v>
      </c>
      <c r="I82" s="38" t="s">
        <v>410</v>
      </c>
      <c r="J82" s="40"/>
      <c r="K82" s="40"/>
      <c r="L82" s="41"/>
      <c r="M82" s="40" t="str">
        <f t="shared" si="5"/>
        <v/>
      </c>
      <c r="N82" s="39" t="s">
        <v>411</v>
      </c>
    </row>
    <row r="83" spans="1:14" ht="20" customHeight="1" x14ac:dyDescent="0.35">
      <c r="A83" s="68" t="s">
        <v>412</v>
      </c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</row>
    <row r="84" spans="1:14" x14ac:dyDescent="0.35">
      <c r="A84" s="42">
        <v>1</v>
      </c>
      <c r="B84" s="43" t="s">
        <v>413</v>
      </c>
      <c r="C84" s="43" t="s">
        <v>414</v>
      </c>
      <c r="D84" s="43" t="s">
        <v>415</v>
      </c>
      <c r="E84" s="43" t="s">
        <v>416</v>
      </c>
      <c r="F84" s="43" t="s">
        <v>417</v>
      </c>
      <c r="G84" s="42" t="s">
        <v>418</v>
      </c>
      <c r="H84" s="42" t="s">
        <v>228</v>
      </c>
      <c r="I84" s="42" t="s">
        <v>340</v>
      </c>
      <c r="J84" s="44"/>
      <c r="K84" s="44"/>
      <c r="L84" s="45"/>
      <c r="M84" s="44" t="str">
        <f>IF(OR(J84&gt;0,K84&gt;0),IF(K84&gt;0,K84,J84)*IF(L84&gt;0,L84,1),"")</f>
        <v/>
      </c>
      <c r="N84" s="43" t="s">
        <v>419</v>
      </c>
    </row>
    <row r="85" spans="1:14" x14ac:dyDescent="0.35">
      <c r="A85" s="6">
        <v>2</v>
      </c>
      <c r="B85" s="7" t="s">
        <v>413</v>
      </c>
      <c r="C85" s="7" t="s">
        <v>414</v>
      </c>
      <c r="D85" s="7" t="s">
        <v>420</v>
      </c>
      <c r="E85" s="7" t="s">
        <v>421</v>
      </c>
      <c r="F85" s="7" t="s">
        <v>422</v>
      </c>
      <c r="G85" s="6" t="s">
        <v>285</v>
      </c>
      <c r="H85" s="6" t="s">
        <v>228</v>
      </c>
      <c r="I85" s="6" t="s">
        <v>423</v>
      </c>
      <c r="J85" s="8"/>
      <c r="K85" s="8"/>
      <c r="L85" s="9"/>
      <c r="M85" s="8" t="str">
        <f>IF(OR(J85&gt;0,K85&gt;0),IF(K85&gt;0,K85,J85)*IF(L85&gt;0,L85,1),"")</f>
        <v/>
      </c>
      <c r="N85" s="7" t="s">
        <v>424</v>
      </c>
    </row>
    <row r="86" spans="1:14" x14ac:dyDescent="0.35">
      <c r="A86" s="42">
        <v>3</v>
      </c>
      <c r="B86" s="43" t="s">
        <v>413</v>
      </c>
      <c r="C86" s="43" t="s">
        <v>425</v>
      </c>
      <c r="D86" s="43" t="s">
        <v>426</v>
      </c>
      <c r="E86" s="43" t="s">
        <v>427</v>
      </c>
      <c r="F86" s="43" t="s">
        <v>428</v>
      </c>
      <c r="G86" s="42" t="s">
        <v>322</v>
      </c>
      <c r="H86" s="42" t="s">
        <v>228</v>
      </c>
      <c r="I86" s="42" t="s">
        <v>345</v>
      </c>
      <c r="J86" s="44"/>
      <c r="K86" s="44"/>
      <c r="L86" s="45"/>
      <c r="M86" s="44" t="str">
        <f>IF(OR(J86&gt;0,K86&gt;0),IF(K86&gt;0,K86,J86)*IF(L86&gt;0,L86,1),"")</f>
        <v/>
      </c>
      <c r="N86" s="43" t="s">
        <v>429</v>
      </c>
    </row>
    <row r="87" spans="1:14" x14ac:dyDescent="0.35">
      <c r="A87" s="6">
        <v>4</v>
      </c>
      <c r="B87" s="7" t="s">
        <v>413</v>
      </c>
      <c r="C87" s="7" t="s">
        <v>430</v>
      </c>
      <c r="D87" s="7" t="s">
        <v>431</v>
      </c>
      <c r="E87" s="7" t="s">
        <v>432</v>
      </c>
      <c r="F87" s="7" t="s">
        <v>433</v>
      </c>
      <c r="G87" s="6" t="s">
        <v>434</v>
      </c>
      <c r="H87" s="6" t="s">
        <v>127</v>
      </c>
      <c r="I87" s="6" t="s">
        <v>435</v>
      </c>
      <c r="J87" s="8"/>
      <c r="K87" s="8"/>
      <c r="L87" s="9"/>
      <c r="M87" s="8" t="str">
        <f>IF(OR(J87&gt;0,K87&gt;0),IF(K87&gt;0,K87,J87)*IF(L87&gt;0,L87,1),"")</f>
        <v/>
      </c>
      <c r="N87" s="7" t="s">
        <v>436</v>
      </c>
    </row>
    <row r="88" spans="1:14" x14ac:dyDescent="0.35">
      <c r="A88" s="42">
        <v>5</v>
      </c>
      <c r="B88" s="43" t="s">
        <v>413</v>
      </c>
      <c r="C88" s="43" t="s">
        <v>437</v>
      </c>
      <c r="D88" s="43" t="s">
        <v>438</v>
      </c>
      <c r="E88" s="43" t="s">
        <v>439</v>
      </c>
      <c r="F88" s="43" t="s">
        <v>440</v>
      </c>
      <c r="G88" s="42" t="s">
        <v>441</v>
      </c>
      <c r="H88" s="42" t="s">
        <v>127</v>
      </c>
      <c r="I88" s="42" t="s">
        <v>442</v>
      </c>
      <c r="J88" s="44"/>
      <c r="K88" s="44"/>
      <c r="L88" s="45"/>
      <c r="M88" s="44" t="str">
        <f>IF(OR(J88&gt;0,K88&gt;0),IF(K88&gt;0,K88,J88)*IF(L88&gt;0,L88,1),"")</f>
        <v/>
      </c>
      <c r="N88" s="43" t="s">
        <v>443</v>
      </c>
    </row>
    <row r="89" spans="1:14" ht="20" customHeight="1" x14ac:dyDescent="0.35">
      <c r="A89" s="78" t="s">
        <v>444</v>
      </c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</row>
    <row r="90" spans="1:14" x14ac:dyDescent="0.35">
      <c r="A90" s="46">
        <v>1</v>
      </c>
      <c r="B90" s="47" t="s">
        <v>445</v>
      </c>
      <c r="C90" s="47" t="s">
        <v>446</v>
      </c>
      <c r="D90" s="47" t="s">
        <v>447</v>
      </c>
      <c r="E90" s="47" t="s">
        <v>448</v>
      </c>
      <c r="F90" s="47" t="s">
        <v>449</v>
      </c>
      <c r="G90" s="46" t="s">
        <v>450</v>
      </c>
      <c r="H90" s="46" t="s">
        <v>127</v>
      </c>
      <c r="I90" s="46" t="s">
        <v>240</v>
      </c>
      <c r="J90" s="48"/>
      <c r="K90" s="48"/>
      <c r="L90" s="49"/>
      <c r="M90" s="48" t="str">
        <f t="shared" ref="M90:M97" si="6">IF(OR(J90&gt;0,K90&gt;0),IF(K90&gt;0,K90,J90)*IF(L90&gt;0,L90,1),"")</f>
        <v/>
      </c>
      <c r="N90" s="47" t="s">
        <v>451</v>
      </c>
    </row>
    <row r="91" spans="1:14" x14ac:dyDescent="0.35">
      <c r="A91" s="6">
        <v>2</v>
      </c>
      <c r="B91" s="7" t="s">
        <v>445</v>
      </c>
      <c r="C91" s="7" t="s">
        <v>446</v>
      </c>
      <c r="D91" s="7" t="s">
        <v>452</v>
      </c>
      <c r="E91" s="7" t="s">
        <v>453</v>
      </c>
      <c r="F91" s="7" t="s">
        <v>454</v>
      </c>
      <c r="G91" s="6" t="s">
        <v>455</v>
      </c>
      <c r="H91" s="6" t="s">
        <v>456</v>
      </c>
      <c r="I91" s="6" t="s">
        <v>457</v>
      </c>
      <c r="J91" s="8"/>
      <c r="K91" s="8"/>
      <c r="L91" s="9"/>
      <c r="M91" s="8" t="str">
        <f t="shared" si="6"/>
        <v/>
      </c>
      <c r="N91" s="7" t="s">
        <v>458</v>
      </c>
    </row>
    <row r="92" spans="1:14" x14ac:dyDescent="0.35">
      <c r="A92" s="46">
        <v>3</v>
      </c>
      <c r="B92" s="47" t="s">
        <v>445</v>
      </c>
      <c r="C92" s="47" t="s">
        <v>446</v>
      </c>
      <c r="D92" s="47" t="s">
        <v>459</v>
      </c>
      <c r="E92" s="47" t="s">
        <v>460</v>
      </c>
      <c r="F92" s="47" t="s">
        <v>461</v>
      </c>
      <c r="G92" s="46" t="s">
        <v>22</v>
      </c>
      <c r="H92" s="46" t="s">
        <v>228</v>
      </c>
      <c r="I92" s="46" t="s">
        <v>240</v>
      </c>
      <c r="J92" s="48"/>
      <c r="K92" s="48"/>
      <c r="L92" s="49"/>
      <c r="M92" s="48" t="str">
        <f t="shared" si="6"/>
        <v/>
      </c>
      <c r="N92" s="47" t="s">
        <v>462</v>
      </c>
    </row>
    <row r="93" spans="1:14" x14ac:dyDescent="0.35">
      <c r="A93" s="6">
        <v>4</v>
      </c>
      <c r="B93" s="7" t="s">
        <v>445</v>
      </c>
      <c r="C93" s="7" t="s">
        <v>463</v>
      </c>
      <c r="D93" s="7" t="s">
        <v>464</v>
      </c>
      <c r="E93" s="7" t="s">
        <v>465</v>
      </c>
      <c r="F93" s="7" t="s">
        <v>466</v>
      </c>
      <c r="G93" s="6" t="s">
        <v>467</v>
      </c>
      <c r="H93" s="6" t="s">
        <v>127</v>
      </c>
      <c r="I93" s="6" t="s">
        <v>468</v>
      </c>
      <c r="J93" s="8"/>
      <c r="K93" s="8"/>
      <c r="L93" s="9"/>
      <c r="M93" s="8" t="str">
        <f t="shared" si="6"/>
        <v/>
      </c>
      <c r="N93" s="7" t="s">
        <v>469</v>
      </c>
    </row>
    <row r="94" spans="1:14" x14ac:dyDescent="0.35">
      <c r="A94" s="46">
        <v>5</v>
      </c>
      <c r="B94" s="47" t="s">
        <v>445</v>
      </c>
      <c r="C94" s="47" t="s">
        <v>463</v>
      </c>
      <c r="D94" s="47" t="s">
        <v>470</v>
      </c>
      <c r="E94" s="47" t="s">
        <v>471</v>
      </c>
      <c r="F94" s="47" t="s">
        <v>472</v>
      </c>
      <c r="G94" s="46" t="s">
        <v>467</v>
      </c>
      <c r="H94" s="46" t="s">
        <v>127</v>
      </c>
      <c r="I94" s="46" t="s">
        <v>473</v>
      </c>
      <c r="J94" s="48"/>
      <c r="K94" s="48"/>
      <c r="L94" s="49"/>
      <c r="M94" s="48" t="str">
        <f t="shared" si="6"/>
        <v/>
      </c>
      <c r="N94" s="47" t="s">
        <v>474</v>
      </c>
    </row>
    <row r="95" spans="1:14" x14ac:dyDescent="0.35">
      <c r="A95" s="6">
        <v>6</v>
      </c>
      <c r="B95" s="7" t="s">
        <v>445</v>
      </c>
      <c r="C95" s="7" t="s">
        <v>463</v>
      </c>
      <c r="D95" s="7" t="s">
        <v>475</v>
      </c>
      <c r="E95" s="7" t="s">
        <v>476</v>
      </c>
      <c r="F95" s="7" t="s">
        <v>477</v>
      </c>
      <c r="G95" s="6" t="s">
        <v>478</v>
      </c>
      <c r="H95" s="6" t="s">
        <v>127</v>
      </c>
      <c r="I95" s="6" t="s">
        <v>240</v>
      </c>
      <c r="J95" s="8"/>
      <c r="K95" s="8"/>
      <c r="L95" s="9"/>
      <c r="M95" s="8" t="str">
        <f t="shared" si="6"/>
        <v/>
      </c>
      <c r="N95" s="7" t="s">
        <v>479</v>
      </c>
    </row>
    <row r="96" spans="1:14" x14ac:dyDescent="0.35">
      <c r="A96" s="46">
        <v>7</v>
      </c>
      <c r="B96" s="47" t="s">
        <v>445</v>
      </c>
      <c r="C96" s="47" t="s">
        <v>248</v>
      </c>
      <c r="D96" s="47" t="s">
        <v>480</v>
      </c>
      <c r="E96" s="47" t="s">
        <v>481</v>
      </c>
      <c r="F96" s="47" t="s">
        <v>482</v>
      </c>
      <c r="G96" s="46" t="s">
        <v>483</v>
      </c>
      <c r="H96" s="46" t="s">
        <v>127</v>
      </c>
      <c r="I96" s="46" t="s">
        <v>253</v>
      </c>
      <c r="J96" s="48"/>
      <c r="K96" s="48"/>
      <c r="L96" s="49"/>
      <c r="M96" s="48" t="str">
        <f t="shared" si="6"/>
        <v/>
      </c>
      <c r="N96" s="47" t="s">
        <v>484</v>
      </c>
    </row>
    <row r="97" spans="1:14" x14ac:dyDescent="0.35">
      <c r="A97" s="6">
        <v>8</v>
      </c>
      <c r="B97" s="7" t="s">
        <v>445</v>
      </c>
      <c r="C97" s="7" t="s">
        <v>248</v>
      </c>
      <c r="D97" s="7" t="s">
        <v>485</v>
      </c>
      <c r="E97" s="7" t="s">
        <v>486</v>
      </c>
      <c r="F97" s="7" t="s">
        <v>487</v>
      </c>
      <c r="G97" s="6" t="s">
        <v>488</v>
      </c>
      <c r="H97" s="6" t="s">
        <v>127</v>
      </c>
      <c r="I97" s="6" t="s">
        <v>253</v>
      </c>
      <c r="J97" s="8"/>
      <c r="K97" s="8"/>
      <c r="L97" s="9"/>
      <c r="M97" s="8" t="str">
        <f t="shared" si="6"/>
        <v/>
      </c>
      <c r="N97" s="7" t="s">
        <v>489</v>
      </c>
    </row>
    <row r="98" spans="1:14" ht="22" customHeight="1" x14ac:dyDescent="0.35">
      <c r="A98" s="71" t="s">
        <v>490</v>
      </c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50">
        <f>SUMIF(M4:M97,"&lt;&gt;",M4:M97)</f>
        <v>0</v>
      </c>
      <c r="N98" s="51"/>
    </row>
  </sheetData>
  <mergeCells count="14">
    <mergeCell ref="A1:N1"/>
    <mergeCell ref="A98:L98"/>
    <mergeCell ref="A26:N26"/>
    <mergeCell ref="A2:N2"/>
    <mergeCell ref="A51:N51"/>
    <mergeCell ref="A45:N45"/>
    <mergeCell ref="A75:N75"/>
    <mergeCell ref="A14:N14"/>
    <mergeCell ref="A89:N89"/>
    <mergeCell ref="A56:N56"/>
    <mergeCell ref="A70:N70"/>
    <mergeCell ref="A83:N83"/>
    <mergeCell ref="A35:N35"/>
    <mergeCell ref="A4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J23"/>
  <sheetViews>
    <sheetView workbookViewId="0">
      <pane ySplit="3" topLeftCell="A4" activePane="bottomLeft" state="frozen"/>
      <selection pane="bottomLeft" sqref="A1:J1"/>
    </sheetView>
  </sheetViews>
  <sheetFormatPr baseColWidth="10" defaultColWidth="8.7265625" defaultRowHeight="14.5" x14ac:dyDescent="0.35"/>
  <cols>
    <col min="1" max="1" width="22" customWidth="1"/>
    <col min="2" max="2" width="30" customWidth="1"/>
    <col min="3" max="3" width="12" customWidth="1"/>
    <col min="4" max="4" width="10" customWidth="1"/>
    <col min="5" max="7" width="14" customWidth="1"/>
    <col min="8" max="8" width="12" customWidth="1"/>
    <col min="9" max="9" width="10" customWidth="1"/>
    <col min="10" max="10" width="28" customWidth="1"/>
  </cols>
  <sheetData>
    <row r="1" spans="1:10" ht="28" customHeight="1" x14ac:dyDescent="0.35">
      <c r="A1" s="81" t="s">
        <v>491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x14ac:dyDescent="0.35">
      <c r="A2" s="52" t="s">
        <v>492</v>
      </c>
      <c r="B2" s="53" t="s">
        <v>493</v>
      </c>
      <c r="D2" s="52" t="s">
        <v>494</v>
      </c>
      <c r="E2" s="54">
        <v>100</v>
      </c>
      <c r="G2" s="52" t="s">
        <v>495</v>
      </c>
      <c r="H2" s="53" t="s">
        <v>496</v>
      </c>
    </row>
    <row r="3" spans="1:10" ht="30" customHeight="1" x14ac:dyDescent="0.35">
      <c r="A3" s="55" t="s">
        <v>497</v>
      </c>
      <c r="B3" s="55" t="s">
        <v>498</v>
      </c>
      <c r="C3" s="55" t="s">
        <v>499</v>
      </c>
      <c r="D3" s="55" t="s">
        <v>500</v>
      </c>
      <c r="E3" s="55" t="s">
        <v>501</v>
      </c>
      <c r="F3" s="55" t="s">
        <v>502</v>
      </c>
      <c r="G3" s="55" t="s">
        <v>503</v>
      </c>
      <c r="H3" s="55" t="s">
        <v>504</v>
      </c>
      <c r="I3" s="55" t="s">
        <v>505</v>
      </c>
      <c r="J3" s="55" t="s">
        <v>15</v>
      </c>
    </row>
    <row r="4" spans="1:10" x14ac:dyDescent="0.35">
      <c r="A4" s="11" t="s">
        <v>506</v>
      </c>
      <c r="B4" s="11" t="s">
        <v>61</v>
      </c>
      <c r="C4" s="10" t="s">
        <v>22</v>
      </c>
      <c r="D4" s="10">
        <v>1</v>
      </c>
      <c r="E4" s="12"/>
      <c r="F4" s="12" t="str">
        <f t="shared" ref="F4:F20" si="0">IF(E4&gt;0,D4*E4,"")</f>
        <v/>
      </c>
      <c r="G4" s="12" t="e">
        <f t="shared" ref="G4:G20" si="1">IF(F4&gt;0,F4*$E$2,"")</f>
        <v>#VALUE!</v>
      </c>
      <c r="H4" s="10" t="s">
        <v>507</v>
      </c>
      <c r="I4" s="10"/>
      <c r="J4" s="11" t="s">
        <v>508</v>
      </c>
    </row>
    <row r="5" spans="1:10" x14ac:dyDescent="0.35">
      <c r="A5" s="7" t="s">
        <v>506</v>
      </c>
      <c r="B5" s="7" t="s">
        <v>509</v>
      </c>
      <c r="C5" s="6" t="s">
        <v>510</v>
      </c>
      <c r="D5" s="6">
        <v>1</v>
      </c>
      <c r="E5" s="8"/>
      <c r="F5" s="8" t="str">
        <f t="shared" si="0"/>
        <v/>
      </c>
      <c r="G5" s="8" t="e">
        <f t="shared" si="1"/>
        <v>#VALUE!</v>
      </c>
      <c r="H5" s="6"/>
      <c r="I5" s="6" t="s">
        <v>507</v>
      </c>
      <c r="J5" s="7" t="s">
        <v>511</v>
      </c>
    </row>
    <row r="6" spans="1:10" x14ac:dyDescent="0.35">
      <c r="A6" s="11" t="s">
        <v>71</v>
      </c>
      <c r="B6" s="11" t="s">
        <v>124</v>
      </c>
      <c r="C6" s="10" t="s">
        <v>22</v>
      </c>
      <c r="D6" s="10">
        <v>1</v>
      </c>
      <c r="E6" s="12"/>
      <c r="F6" s="12" t="str">
        <f t="shared" si="0"/>
        <v/>
      </c>
      <c r="G6" s="12" t="e">
        <f t="shared" si="1"/>
        <v>#VALUE!</v>
      </c>
      <c r="H6" s="10" t="s">
        <v>507</v>
      </c>
      <c r="I6" s="10"/>
      <c r="J6" s="11" t="s">
        <v>512</v>
      </c>
    </row>
    <row r="7" spans="1:10" x14ac:dyDescent="0.35">
      <c r="A7" s="7" t="s">
        <v>71</v>
      </c>
      <c r="B7" s="7" t="s">
        <v>513</v>
      </c>
      <c r="C7" s="6" t="s">
        <v>22</v>
      </c>
      <c r="D7" s="6">
        <v>1</v>
      </c>
      <c r="E7" s="8"/>
      <c r="F7" s="8" t="str">
        <f t="shared" si="0"/>
        <v/>
      </c>
      <c r="G7" s="8" t="e">
        <f t="shared" si="1"/>
        <v>#VALUE!</v>
      </c>
      <c r="H7" s="6" t="s">
        <v>507</v>
      </c>
      <c r="I7" s="6"/>
      <c r="J7" s="7" t="s">
        <v>514</v>
      </c>
    </row>
    <row r="8" spans="1:10" x14ac:dyDescent="0.35">
      <c r="A8" s="11" t="s">
        <v>71</v>
      </c>
      <c r="B8" s="11" t="s">
        <v>515</v>
      </c>
      <c r="C8" s="10" t="s">
        <v>22</v>
      </c>
      <c r="D8" s="10">
        <v>1</v>
      </c>
      <c r="E8" s="12"/>
      <c r="F8" s="12" t="str">
        <f t="shared" si="0"/>
        <v/>
      </c>
      <c r="G8" s="12" t="e">
        <f t="shared" si="1"/>
        <v>#VALUE!</v>
      </c>
      <c r="H8" s="10" t="s">
        <v>507</v>
      </c>
      <c r="I8" s="10"/>
      <c r="J8" s="11" t="s">
        <v>516</v>
      </c>
    </row>
    <row r="9" spans="1:10" x14ac:dyDescent="0.35">
      <c r="A9" s="7" t="s">
        <v>517</v>
      </c>
      <c r="B9" s="7" t="s">
        <v>181</v>
      </c>
      <c r="C9" s="6" t="s">
        <v>22</v>
      </c>
      <c r="D9" s="6">
        <v>1</v>
      </c>
      <c r="E9" s="8"/>
      <c r="F9" s="8" t="str">
        <f t="shared" si="0"/>
        <v/>
      </c>
      <c r="G9" s="8" t="e">
        <f t="shared" si="1"/>
        <v>#VALUE!</v>
      </c>
      <c r="H9" s="6" t="s">
        <v>507</v>
      </c>
      <c r="I9" s="6"/>
      <c r="J9" s="7" t="s">
        <v>518</v>
      </c>
    </row>
    <row r="10" spans="1:10" x14ac:dyDescent="0.35">
      <c r="A10" s="11" t="s">
        <v>519</v>
      </c>
      <c r="B10" s="11" t="s">
        <v>520</v>
      </c>
      <c r="C10" s="10" t="s">
        <v>22</v>
      </c>
      <c r="D10" s="10">
        <v>1</v>
      </c>
      <c r="E10" s="12"/>
      <c r="F10" s="12" t="str">
        <f t="shared" si="0"/>
        <v/>
      </c>
      <c r="G10" s="12" t="e">
        <f t="shared" si="1"/>
        <v>#VALUE!</v>
      </c>
      <c r="H10" s="10" t="s">
        <v>507</v>
      </c>
      <c r="I10" s="10"/>
      <c r="J10" s="11" t="s">
        <v>521</v>
      </c>
    </row>
    <row r="11" spans="1:10" x14ac:dyDescent="0.35">
      <c r="A11" s="7" t="s">
        <v>519</v>
      </c>
      <c r="B11" s="7" t="s">
        <v>165</v>
      </c>
      <c r="C11" s="6" t="s">
        <v>22</v>
      </c>
      <c r="D11" s="6">
        <v>1</v>
      </c>
      <c r="E11" s="8"/>
      <c r="F11" s="8" t="str">
        <f t="shared" si="0"/>
        <v/>
      </c>
      <c r="G11" s="8" t="e">
        <f t="shared" si="1"/>
        <v>#VALUE!</v>
      </c>
      <c r="H11" s="6" t="s">
        <v>507</v>
      </c>
      <c r="I11" s="6"/>
      <c r="J11" s="7" t="s">
        <v>522</v>
      </c>
    </row>
    <row r="12" spans="1:10" x14ac:dyDescent="0.35">
      <c r="A12" s="11" t="s">
        <v>523</v>
      </c>
      <c r="B12" s="11" t="s">
        <v>524</v>
      </c>
      <c r="C12" s="10" t="s">
        <v>22</v>
      </c>
      <c r="D12" s="10">
        <v>1</v>
      </c>
      <c r="E12" s="12"/>
      <c r="F12" s="12" t="str">
        <f t="shared" si="0"/>
        <v/>
      </c>
      <c r="G12" s="12" t="e">
        <f t="shared" si="1"/>
        <v>#VALUE!</v>
      </c>
      <c r="H12" s="10" t="s">
        <v>507</v>
      </c>
      <c r="I12" s="10"/>
      <c r="J12" s="11" t="s">
        <v>525</v>
      </c>
    </row>
    <row r="13" spans="1:10" x14ac:dyDescent="0.35">
      <c r="A13" s="7" t="s">
        <v>526</v>
      </c>
      <c r="B13" s="7" t="s">
        <v>527</v>
      </c>
      <c r="C13" s="6" t="s">
        <v>22</v>
      </c>
      <c r="D13" s="6">
        <v>1</v>
      </c>
      <c r="E13" s="8"/>
      <c r="F13" s="8" t="str">
        <f t="shared" si="0"/>
        <v/>
      </c>
      <c r="G13" s="8" t="e">
        <f t="shared" si="1"/>
        <v>#VALUE!</v>
      </c>
      <c r="H13" s="6" t="s">
        <v>507</v>
      </c>
      <c r="I13" s="6"/>
      <c r="J13" s="7" t="s">
        <v>528</v>
      </c>
    </row>
    <row r="14" spans="1:10" x14ac:dyDescent="0.35">
      <c r="A14" s="11" t="s">
        <v>526</v>
      </c>
      <c r="B14" s="11" t="s">
        <v>198</v>
      </c>
      <c r="C14" s="10" t="s">
        <v>22</v>
      </c>
      <c r="D14" s="10">
        <v>1</v>
      </c>
      <c r="E14" s="12"/>
      <c r="F14" s="12" t="str">
        <f t="shared" si="0"/>
        <v/>
      </c>
      <c r="G14" s="12" t="e">
        <f t="shared" si="1"/>
        <v>#VALUE!</v>
      </c>
      <c r="H14" s="10" t="s">
        <v>507</v>
      </c>
      <c r="I14" s="10"/>
      <c r="J14" s="11" t="s">
        <v>529</v>
      </c>
    </row>
    <row r="15" spans="1:10" x14ac:dyDescent="0.35">
      <c r="A15" s="7" t="s">
        <v>526</v>
      </c>
      <c r="B15" s="7" t="s">
        <v>530</v>
      </c>
      <c r="C15" s="6" t="s">
        <v>22</v>
      </c>
      <c r="D15" s="6">
        <v>1</v>
      </c>
      <c r="E15" s="8"/>
      <c r="F15" s="8" t="str">
        <f t="shared" si="0"/>
        <v/>
      </c>
      <c r="G15" s="8" t="e">
        <f t="shared" si="1"/>
        <v>#VALUE!</v>
      </c>
      <c r="H15" s="6"/>
      <c r="I15" s="6" t="s">
        <v>507</v>
      </c>
      <c r="J15" s="7" t="s">
        <v>531</v>
      </c>
    </row>
    <row r="16" spans="1:10" x14ac:dyDescent="0.35">
      <c r="A16" s="11" t="s">
        <v>532</v>
      </c>
      <c r="B16" s="11" t="s">
        <v>533</v>
      </c>
      <c r="C16" s="10" t="s">
        <v>22</v>
      </c>
      <c r="D16" s="10">
        <v>1</v>
      </c>
      <c r="E16" s="12"/>
      <c r="F16" s="12" t="str">
        <f t="shared" si="0"/>
        <v/>
      </c>
      <c r="G16" s="12" t="e">
        <f t="shared" si="1"/>
        <v>#VALUE!</v>
      </c>
      <c r="H16" s="10" t="s">
        <v>507</v>
      </c>
      <c r="I16" s="10"/>
      <c r="J16" s="11" t="s">
        <v>534</v>
      </c>
    </row>
    <row r="17" spans="1:10" x14ac:dyDescent="0.35">
      <c r="A17" s="7" t="s">
        <v>535</v>
      </c>
      <c r="B17" s="7" t="s">
        <v>536</v>
      </c>
      <c r="C17" s="6" t="s">
        <v>537</v>
      </c>
      <c r="D17" s="6">
        <v>1</v>
      </c>
      <c r="E17" s="8"/>
      <c r="F17" s="8" t="str">
        <f t="shared" si="0"/>
        <v/>
      </c>
      <c r="G17" s="8" t="e">
        <f t="shared" si="1"/>
        <v>#VALUE!</v>
      </c>
      <c r="H17" s="6" t="s">
        <v>507</v>
      </c>
      <c r="I17" s="6"/>
      <c r="J17" s="7" t="s">
        <v>538</v>
      </c>
    </row>
    <row r="18" spans="1:10" x14ac:dyDescent="0.35">
      <c r="A18" s="11" t="s">
        <v>535</v>
      </c>
      <c r="B18" s="11" t="s">
        <v>539</v>
      </c>
      <c r="C18" s="10" t="s">
        <v>322</v>
      </c>
      <c r="D18" s="10">
        <v>0</v>
      </c>
      <c r="E18" s="12"/>
      <c r="F18" s="12" t="str">
        <f t="shared" si="0"/>
        <v/>
      </c>
      <c r="G18" s="12" t="e">
        <f t="shared" si="1"/>
        <v>#VALUE!</v>
      </c>
      <c r="H18" s="10" t="s">
        <v>507</v>
      </c>
      <c r="I18" s="10"/>
      <c r="J18" s="11" t="s">
        <v>540</v>
      </c>
    </row>
    <row r="19" spans="1:10" x14ac:dyDescent="0.35">
      <c r="A19" s="7" t="s">
        <v>541</v>
      </c>
      <c r="B19" s="7" t="s">
        <v>542</v>
      </c>
      <c r="C19" s="6" t="s">
        <v>322</v>
      </c>
      <c r="D19" s="6">
        <v>0</v>
      </c>
      <c r="E19" s="8"/>
      <c r="F19" s="8" t="str">
        <f t="shared" si="0"/>
        <v/>
      </c>
      <c r="G19" s="8" t="e">
        <f t="shared" si="1"/>
        <v>#VALUE!</v>
      </c>
      <c r="H19" s="6" t="s">
        <v>507</v>
      </c>
      <c r="I19" s="6"/>
      <c r="J19" s="7" t="s">
        <v>543</v>
      </c>
    </row>
    <row r="20" spans="1:10" x14ac:dyDescent="0.35">
      <c r="A20" s="11" t="s">
        <v>541</v>
      </c>
      <c r="B20" s="11" t="s">
        <v>544</v>
      </c>
      <c r="C20" s="10" t="s">
        <v>22</v>
      </c>
      <c r="D20" s="10">
        <v>1</v>
      </c>
      <c r="E20" s="12"/>
      <c r="F20" s="12" t="str">
        <f t="shared" si="0"/>
        <v/>
      </c>
      <c r="G20" s="12" t="e">
        <f t="shared" si="1"/>
        <v>#VALUE!</v>
      </c>
      <c r="H20" s="10" t="s">
        <v>507</v>
      </c>
      <c r="I20" s="10"/>
      <c r="J20" s="11" t="s">
        <v>545</v>
      </c>
    </row>
    <row r="21" spans="1:10" x14ac:dyDescent="0.35">
      <c r="A21" s="80" t="s">
        <v>546</v>
      </c>
      <c r="B21" s="66"/>
      <c r="C21" s="66"/>
      <c r="D21" s="66"/>
      <c r="E21" s="66"/>
      <c r="F21" s="56">
        <f>SUMIF(F4:F20,"&lt;&gt;""",F4:F20)</f>
        <v>0</v>
      </c>
      <c r="G21" s="56" t="e">
        <f>SUMIF(G4:G20,"&lt;&gt;""",G4:G20)</f>
        <v>#VALUE!</v>
      </c>
      <c r="H21" s="57"/>
      <c r="I21" s="57"/>
      <c r="J21" s="57"/>
    </row>
    <row r="23" spans="1:10" x14ac:dyDescent="0.35">
      <c r="A23" s="82" t="s">
        <v>547</v>
      </c>
      <c r="B23" s="66"/>
      <c r="C23" s="66"/>
      <c r="D23" s="66"/>
      <c r="E23" s="66"/>
      <c r="F23" s="66"/>
      <c r="G23" s="66"/>
      <c r="H23" s="66"/>
      <c r="I23" s="66"/>
      <c r="J23" s="66"/>
    </row>
  </sheetData>
  <mergeCells count="3">
    <mergeCell ref="A21:E21"/>
    <mergeCell ref="A1:J1"/>
    <mergeCell ref="A23:J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47A1"/>
  </sheetPr>
  <dimension ref="A1:I16"/>
  <sheetViews>
    <sheetView workbookViewId="0">
      <selection sqref="A1:H1"/>
    </sheetView>
  </sheetViews>
  <sheetFormatPr baseColWidth="10" defaultColWidth="8.7265625" defaultRowHeight="14.5" x14ac:dyDescent="0.35"/>
  <cols>
    <col min="1" max="1" width="30" customWidth="1"/>
    <col min="2" max="9" width="16" customWidth="1"/>
  </cols>
  <sheetData>
    <row r="1" spans="1:9" ht="28" customHeight="1" x14ac:dyDescent="0.35">
      <c r="A1" s="84" t="s">
        <v>548</v>
      </c>
      <c r="B1" s="66"/>
      <c r="C1" s="66"/>
      <c r="D1" s="66"/>
      <c r="E1" s="66"/>
      <c r="F1" s="66"/>
      <c r="G1" s="66"/>
      <c r="H1" s="66"/>
    </row>
    <row r="2" spans="1:9" ht="32" customHeight="1" x14ac:dyDescent="0.35">
      <c r="A2" s="58" t="s">
        <v>549</v>
      </c>
      <c r="B2" s="58" t="s">
        <v>493</v>
      </c>
      <c r="C2" s="58" t="s">
        <v>550</v>
      </c>
      <c r="D2" s="58" t="s">
        <v>551</v>
      </c>
      <c r="E2" s="58" t="s">
        <v>552</v>
      </c>
      <c r="F2" s="58" t="s">
        <v>553</v>
      </c>
      <c r="G2" s="58" t="s">
        <v>554</v>
      </c>
      <c r="H2" s="58" t="s">
        <v>555</v>
      </c>
      <c r="I2" s="58" t="s">
        <v>556</v>
      </c>
    </row>
    <row r="3" spans="1:9" x14ac:dyDescent="0.35">
      <c r="A3" s="59" t="s">
        <v>557</v>
      </c>
      <c r="B3" s="60"/>
      <c r="C3" s="60"/>
      <c r="D3" s="60"/>
      <c r="E3" s="60"/>
      <c r="F3" s="60"/>
      <c r="G3" s="60"/>
      <c r="H3" s="60"/>
      <c r="I3" s="60"/>
    </row>
    <row r="4" spans="1:9" x14ac:dyDescent="0.35">
      <c r="A4" s="61" t="s">
        <v>558</v>
      </c>
      <c r="B4" s="62"/>
      <c r="C4" s="62"/>
      <c r="D4" s="62"/>
      <c r="E4" s="62"/>
      <c r="F4" s="62"/>
      <c r="G4" s="62"/>
      <c r="H4" s="62"/>
      <c r="I4" s="62"/>
    </row>
    <row r="5" spans="1:9" x14ac:dyDescent="0.35">
      <c r="A5" s="59" t="s">
        <v>559</v>
      </c>
      <c r="B5" s="60"/>
      <c r="C5" s="60"/>
      <c r="D5" s="60"/>
      <c r="E5" s="60"/>
      <c r="F5" s="60"/>
      <c r="G5" s="60"/>
      <c r="H5" s="60"/>
      <c r="I5" s="60"/>
    </row>
    <row r="6" spans="1:9" x14ac:dyDescent="0.35">
      <c r="A6" s="61" t="s">
        <v>560</v>
      </c>
      <c r="B6" s="62"/>
      <c r="C6" s="62"/>
      <c r="D6" s="62"/>
      <c r="E6" s="62"/>
      <c r="F6" s="62"/>
      <c r="G6" s="62"/>
      <c r="H6" s="62"/>
      <c r="I6" s="62"/>
    </row>
    <row r="7" spans="1:9" x14ac:dyDescent="0.35">
      <c r="A7" s="59" t="s">
        <v>561</v>
      </c>
      <c r="B7" s="60"/>
      <c r="C7" s="60"/>
      <c r="D7" s="60"/>
      <c r="E7" s="60"/>
      <c r="F7" s="60"/>
      <c r="G7" s="60"/>
      <c r="H7" s="60"/>
      <c r="I7" s="60"/>
    </row>
    <row r="8" spans="1:9" x14ac:dyDescent="0.35">
      <c r="A8" s="61" t="s">
        <v>562</v>
      </c>
      <c r="B8" s="62"/>
      <c r="C8" s="62"/>
      <c r="D8" s="62"/>
      <c r="E8" s="62"/>
      <c r="F8" s="62"/>
      <c r="G8" s="62"/>
      <c r="H8" s="62"/>
      <c r="I8" s="62"/>
    </row>
    <row r="9" spans="1:9" x14ac:dyDescent="0.35">
      <c r="A9" s="59" t="s">
        <v>563</v>
      </c>
      <c r="B9" s="60"/>
      <c r="C9" s="60"/>
      <c r="D9" s="60"/>
      <c r="E9" s="60"/>
      <c r="F9" s="60"/>
      <c r="G9" s="60"/>
      <c r="H9" s="60"/>
      <c r="I9" s="60"/>
    </row>
    <row r="10" spans="1:9" x14ac:dyDescent="0.35">
      <c r="A10" s="61" t="s">
        <v>564</v>
      </c>
      <c r="B10" s="62"/>
      <c r="C10" s="62"/>
      <c r="D10" s="62"/>
      <c r="E10" s="62"/>
      <c r="F10" s="62"/>
      <c r="G10" s="62"/>
      <c r="H10" s="62"/>
      <c r="I10" s="62"/>
    </row>
    <row r="11" spans="1:9" x14ac:dyDescent="0.35">
      <c r="A11" s="59" t="s">
        <v>565</v>
      </c>
      <c r="B11" s="60"/>
      <c r="C11" s="60"/>
      <c r="D11" s="60"/>
      <c r="E11" s="60"/>
      <c r="F11" s="60"/>
      <c r="G11" s="60"/>
      <c r="H11" s="60"/>
      <c r="I11" s="60"/>
    </row>
    <row r="12" spans="1:9" x14ac:dyDescent="0.35">
      <c r="A12" s="61" t="s">
        <v>566</v>
      </c>
      <c r="B12" s="62"/>
      <c r="C12" s="62"/>
      <c r="D12" s="62"/>
      <c r="E12" s="62"/>
      <c r="F12" s="62"/>
      <c r="G12" s="62"/>
      <c r="H12" s="62"/>
      <c r="I12" s="62"/>
    </row>
    <row r="13" spans="1:9" x14ac:dyDescent="0.35">
      <c r="A13" s="59" t="s">
        <v>567</v>
      </c>
      <c r="B13" s="60"/>
      <c r="C13" s="60"/>
      <c r="D13" s="60"/>
      <c r="E13" s="60"/>
      <c r="F13" s="60"/>
      <c r="G13" s="60"/>
      <c r="H13" s="60"/>
      <c r="I13" s="60"/>
    </row>
    <row r="14" spans="1:9" x14ac:dyDescent="0.35">
      <c r="A14" s="63" t="s">
        <v>568</v>
      </c>
      <c r="B14" s="64"/>
      <c r="C14" s="64"/>
      <c r="D14" s="64"/>
      <c r="E14" s="64"/>
      <c r="F14" s="64"/>
      <c r="G14" s="64"/>
      <c r="H14" s="64"/>
      <c r="I14" s="64"/>
    </row>
    <row r="16" spans="1:9" x14ac:dyDescent="0.35">
      <c r="A16" s="83" t="s">
        <v>569</v>
      </c>
      <c r="B16" s="66"/>
      <c r="C16" s="66"/>
      <c r="D16" s="66"/>
      <c r="E16" s="66"/>
      <c r="F16" s="66"/>
      <c r="G16" s="66"/>
      <c r="H16" s="66"/>
    </row>
  </sheetData>
  <mergeCells count="2">
    <mergeCell ref="A16:H1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1B9A"/>
  </sheetPr>
  <dimension ref="A1:A29"/>
  <sheetViews>
    <sheetView workbookViewId="0"/>
  </sheetViews>
  <sheetFormatPr baseColWidth="10" defaultColWidth="8.7265625" defaultRowHeight="14.5" x14ac:dyDescent="0.35"/>
  <cols>
    <col min="1" max="1" width="90" customWidth="1"/>
  </cols>
  <sheetData>
    <row r="1" spans="1:1" ht="30" customHeight="1" x14ac:dyDescent="0.35">
      <c r="A1" s="79" t="s">
        <v>570</v>
      </c>
    </row>
    <row r="2" spans="1:1" ht="16" customHeight="1" x14ac:dyDescent="0.35">
      <c r="A2" s="66"/>
    </row>
    <row r="3" spans="1:1" ht="16" customHeight="1" x14ac:dyDescent="0.35">
      <c r="A3" s="86" t="s">
        <v>571</v>
      </c>
    </row>
    <row r="4" spans="1:1" ht="16" customHeight="1" x14ac:dyDescent="0.35">
      <c r="A4" s="85" t="s">
        <v>572</v>
      </c>
    </row>
    <row r="5" spans="1:1" ht="16" customHeight="1" x14ac:dyDescent="0.35">
      <c r="A5" s="85" t="s">
        <v>573</v>
      </c>
    </row>
    <row r="6" spans="1:1" ht="16" customHeight="1" x14ac:dyDescent="0.35">
      <c r="A6" s="85" t="s">
        <v>574</v>
      </c>
    </row>
    <row r="7" spans="1:1" ht="16" customHeight="1" x14ac:dyDescent="0.35">
      <c r="A7" s="85" t="s">
        <v>575</v>
      </c>
    </row>
    <row r="8" spans="1:1" ht="16" customHeight="1" x14ac:dyDescent="0.35">
      <c r="A8" s="85" t="s">
        <v>576</v>
      </c>
    </row>
    <row r="9" spans="1:1" ht="16" customHeight="1" x14ac:dyDescent="0.35">
      <c r="A9" s="85" t="s">
        <v>577</v>
      </c>
    </row>
    <row r="10" spans="1:1" ht="16" customHeight="1" x14ac:dyDescent="0.35">
      <c r="A10" s="66"/>
    </row>
    <row r="11" spans="1:1" ht="16" customHeight="1" x14ac:dyDescent="0.35">
      <c r="A11" s="86" t="s">
        <v>578</v>
      </c>
    </row>
    <row r="12" spans="1:1" ht="16" customHeight="1" x14ac:dyDescent="0.35">
      <c r="A12" s="85" t="s">
        <v>579</v>
      </c>
    </row>
    <row r="13" spans="1:1" ht="16" customHeight="1" x14ac:dyDescent="0.35">
      <c r="A13" s="85" t="s">
        <v>580</v>
      </c>
    </row>
    <row r="14" spans="1:1" ht="16" customHeight="1" x14ac:dyDescent="0.35">
      <c r="A14" s="85" t="s">
        <v>581</v>
      </c>
    </row>
    <row r="15" spans="1:1" ht="16" customHeight="1" x14ac:dyDescent="0.35">
      <c r="A15" s="85" t="s">
        <v>582</v>
      </c>
    </row>
    <row r="16" spans="1:1" ht="16" customHeight="1" x14ac:dyDescent="0.35">
      <c r="A16" s="85" t="s">
        <v>583</v>
      </c>
    </row>
    <row r="17" spans="1:1" ht="16" customHeight="1" x14ac:dyDescent="0.35">
      <c r="A17" s="66"/>
    </row>
    <row r="18" spans="1:1" ht="16" customHeight="1" x14ac:dyDescent="0.35">
      <c r="A18" s="86" t="s">
        <v>584</v>
      </c>
    </row>
    <row r="19" spans="1:1" ht="16" customHeight="1" x14ac:dyDescent="0.35">
      <c r="A19" s="85" t="s">
        <v>585</v>
      </c>
    </row>
    <row r="20" spans="1:1" ht="16" customHeight="1" x14ac:dyDescent="0.35">
      <c r="A20" s="85" t="s">
        <v>586</v>
      </c>
    </row>
    <row r="21" spans="1:1" ht="16" customHeight="1" x14ac:dyDescent="0.35">
      <c r="A21" s="85" t="s">
        <v>587</v>
      </c>
    </row>
    <row r="22" spans="1:1" ht="16" customHeight="1" x14ac:dyDescent="0.35">
      <c r="A22" s="66"/>
    </row>
    <row r="23" spans="1:1" ht="16" customHeight="1" x14ac:dyDescent="0.35">
      <c r="A23" s="86" t="s">
        <v>588</v>
      </c>
    </row>
    <row r="24" spans="1:1" ht="16" customHeight="1" x14ac:dyDescent="0.35">
      <c r="A24" s="85" t="s">
        <v>589</v>
      </c>
    </row>
    <row r="25" spans="1:1" ht="16" customHeight="1" x14ac:dyDescent="0.35">
      <c r="A25" s="85" t="s">
        <v>590</v>
      </c>
    </row>
    <row r="26" spans="1:1" ht="16" customHeight="1" x14ac:dyDescent="0.35">
      <c r="A26" s="85" t="s">
        <v>591</v>
      </c>
    </row>
    <row r="27" spans="1:1" ht="16" customHeight="1" x14ac:dyDescent="0.35">
      <c r="A27" s="85" t="s">
        <v>592</v>
      </c>
    </row>
    <row r="28" spans="1:1" ht="16" customHeight="1" x14ac:dyDescent="0.35">
      <c r="A28" s="85" t="s">
        <v>593</v>
      </c>
    </row>
    <row r="29" spans="1:1" ht="16" customHeight="1" x14ac:dyDescent="0.35">
      <c r="A29" s="85" t="s">
        <v>594</v>
      </c>
    </row>
  </sheetData>
  <mergeCells count="29">
    <mergeCell ref="A1"/>
    <mergeCell ref="A6"/>
    <mergeCell ref="A7"/>
    <mergeCell ref="A25"/>
    <mergeCell ref="A16"/>
    <mergeCell ref="A12"/>
    <mergeCell ref="A18"/>
    <mergeCell ref="A3"/>
    <mergeCell ref="A21"/>
    <mergeCell ref="A2"/>
    <mergeCell ref="A14"/>
    <mergeCell ref="A5"/>
    <mergeCell ref="A23"/>
    <mergeCell ref="A8"/>
    <mergeCell ref="A22"/>
    <mergeCell ref="A17"/>
    <mergeCell ref="A4"/>
    <mergeCell ref="A29"/>
    <mergeCell ref="A20"/>
    <mergeCell ref="A10"/>
    <mergeCell ref="A28"/>
    <mergeCell ref="A19"/>
    <mergeCell ref="A13"/>
    <mergeCell ref="A9"/>
    <mergeCell ref="A15"/>
    <mergeCell ref="A24"/>
    <mergeCell ref="A11"/>
    <mergeCell ref="A27"/>
    <mergeCell ref="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LABORES AGRÍCOLAS</vt:lpstr>
      <vt:lpstr>COSTO POR CULTIVO</vt:lpstr>
      <vt:lpstr>RESUMEN COMPARATIVO</vt:lpstr>
      <vt:lpstr>📋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BORN</cp:lastModifiedBy>
  <dcterms:created xsi:type="dcterms:W3CDTF">2026-05-07T21:15:30Z</dcterms:created>
  <dcterms:modified xsi:type="dcterms:W3CDTF">2026-05-07T21:22:35Z</dcterms:modified>
</cp:coreProperties>
</file>